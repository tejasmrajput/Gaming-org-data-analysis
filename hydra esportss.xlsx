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tejas\Desktop\Thumbnail desing\project\"/>
    </mc:Choice>
  </mc:AlternateContent>
  <xr:revisionPtr revIDLastSave="0" documentId="8_{DC9718C9-B192-47B1-8F94-DEDD16456CD3}" xr6:coauthVersionLast="47" xr6:coauthVersionMax="47" xr10:uidLastSave="{00000000-0000-0000-0000-000000000000}"/>
  <bookViews>
    <workbookView xWindow="1060" yWindow="1060" windowWidth="14400" windowHeight="7260" activeTab="1" xr2:uid="{2F7DD3AD-140C-4B14-A256-4D58768F378E}"/>
  </bookViews>
  <sheets>
    <sheet name="Pivot table" sheetId="8" r:id="rId1"/>
    <sheet name="Creators" sheetId="1" r:id="rId2"/>
    <sheet name="brand" sheetId="2" r:id="rId3"/>
    <sheet name="backend" sheetId="5" r:id="rId4"/>
    <sheet name="ESPORTSS" sheetId="3" r:id="rId5"/>
    <sheet name="lineup" sheetId="4" r:id="rId6"/>
  </sheets>
  <definedNames>
    <definedName name="Slicer_Creator_name">#N/A</definedName>
    <definedName name="Slicer_views">#N/A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1" i="1" l="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24" i="1"/>
  <c r="I25" i="1"/>
  <c r="I26" i="1"/>
  <c r="I27" i="1"/>
  <c r="I28" i="1"/>
  <c r="I29" i="1"/>
  <c r="I30" i="1"/>
  <c r="I31" i="1"/>
  <c r="I32" i="1"/>
  <c r="I33" i="1"/>
  <c r="I34" i="1"/>
  <c r="I35" i="1"/>
  <c r="I36" i="1"/>
  <c r="I37" i="1"/>
  <c r="I38" i="1"/>
  <c r="I39" i="1"/>
  <c r="I40" i="1"/>
  <c r="I22" i="1"/>
  <c r="I23" i="1"/>
  <c r="I3" i="1"/>
  <c r="I4" i="1"/>
  <c r="I5" i="1"/>
  <c r="I6" i="1"/>
  <c r="I7" i="1"/>
  <c r="I8" i="1"/>
  <c r="I9" i="1"/>
  <c r="I10" i="1"/>
  <c r="I11" i="1"/>
  <c r="I12" i="1"/>
  <c r="I13" i="1"/>
  <c r="I14" i="1"/>
  <c r="I15" i="1"/>
  <c r="I16" i="1"/>
  <c r="I17" i="1"/>
  <c r="I18" i="1"/>
  <c r="I19" i="1"/>
  <c r="I20" i="1"/>
  <c r="I21" i="1"/>
  <c r="K2" i="1"/>
  <c r="I2" i="1"/>
  <c r="M14" i="1"/>
  <c r="M13" i="1"/>
  <c r="M12" i="1"/>
  <c r="M9" i="1"/>
  <c r="M8" i="1"/>
</calcChain>
</file>

<file path=xl/sharedStrings.xml><?xml version="1.0" encoding="utf-8"?>
<sst xmlns="http://schemas.openxmlformats.org/spreadsheetml/2006/main" count="603" uniqueCount="516">
  <si>
    <t xml:space="preserve">Creators id </t>
  </si>
  <si>
    <t>Creator name</t>
  </si>
  <si>
    <t>sub count</t>
  </si>
  <si>
    <t>insta id</t>
  </si>
  <si>
    <t xml:space="preserve">Sarika </t>
  </si>
  <si>
    <t>channel handle</t>
  </si>
  <si>
    <t>@sarikaplays</t>
  </si>
  <si>
    <t>mannat</t>
  </si>
  <si>
    <t>@mannatwaslive</t>
  </si>
  <si>
    <t>kavisha</t>
  </si>
  <si>
    <t>@kavvaie</t>
  </si>
  <si>
    <t>nitu</t>
  </si>
  <si>
    <t>@nitsi</t>
  </si>
  <si>
    <t>aladin</t>
  </si>
  <si>
    <t>@nade flick</t>
  </si>
  <si>
    <t>angad</t>
  </si>
  <si>
    <t>@itsaang</t>
  </si>
  <si>
    <t>leon</t>
  </si>
  <si>
    <t>@leonwalkthrough</t>
  </si>
  <si>
    <t>uma</t>
  </si>
  <si>
    <t>@missgamer</t>
  </si>
  <si>
    <t>pragya</t>
  </si>
  <si>
    <t>@gamerarshi</t>
  </si>
  <si>
    <t>kiara</t>
  </si>
  <si>
    <t>@kiaragaming</t>
  </si>
  <si>
    <t>vaibhav</t>
  </si>
  <si>
    <t>@vaibhavstrems</t>
  </si>
  <si>
    <t>shruti</t>
  </si>
  <si>
    <t>@inferno</t>
  </si>
  <si>
    <t>mukti</t>
  </si>
  <si>
    <t>@muktiplays</t>
  </si>
  <si>
    <t>isha</t>
  </si>
  <si>
    <t>@gamerisha</t>
  </si>
  <si>
    <t>ankit</t>
  </si>
  <si>
    <t>@mastizonegaming</t>
  </si>
  <si>
    <t>danger</t>
  </si>
  <si>
    <t>@hydradanger</t>
  </si>
  <si>
    <t>arya</t>
  </si>
  <si>
    <t>@aryasan</t>
  </si>
  <si>
    <t>can</t>
  </si>
  <si>
    <t>@CANCANARYCAN</t>
  </si>
  <si>
    <t>TSU</t>
  </si>
  <si>
    <t>@tsunamicat</t>
  </si>
  <si>
    <t>@sarikaaplays</t>
  </si>
  <si>
    <t>@mannatlive</t>
  </si>
  <si>
    <t>@kavaiee</t>
  </si>
  <si>
    <t>@itsnitshi</t>
  </si>
  <si>
    <t>@nadeflickk</t>
  </si>
  <si>
    <t>@aang</t>
  </si>
  <si>
    <t>@leon</t>
  </si>
  <si>
    <t>@tsumicat</t>
  </si>
  <si>
    <t>@canary</t>
  </si>
  <si>
    <t>@arya</t>
  </si>
  <si>
    <t>@danger</t>
  </si>
  <si>
    <t>@mastizone</t>
  </si>
  <si>
    <t>@arshigamer</t>
  </si>
  <si>
    <t>@gamerishaa</t>
  </si>
  <si>
    <t>@muktigamer</t>
  </si>
  <si>
    <t>@shrutichauan</t>
  </si>
  <si>
    <t>@vaibhavstreams</t>
  </si>
  <si>
    <t>@kiaralifestyle</t>
  </si>
  <si>
    <t>@gamerarshii</t>
  </si>
  <si>
    <t>@missgamergirl</t>
  </si>
  <si>
    <t>views</t>
  </si>
  <si>
    <t>Brands id</t>
  </si>
  <si>
    <t>Brand name</t>
  </si>
  <si>
    <t>AMD</t>
  </si>
  <si>
    <t>LENOVO</t>
  </si>
  <si>
    <t>KREO</t>
  </si>
  <si>
    <t>IQOO</t>
  </si>
  <si>
    <t>SAMSUNG</t>
  </si>
  <si>
    <t>Logitech</t>
  </si>
  <si>
    <t>HyperX</t>
  </si>
  <si>
    <t>Oneplus</t>
  </si>
  <si>
    <t>Redbull</t>
  </si>
  <si>
    <t>Monster</t>
  </si>
  <si>
    <t>Rooter</t>
  </si>
  <si>
    <t>Loco</t>
  </si>
  <si>
    <t>Kick</t>
  </si>
  <si>
    <t>Twitch</t>
  </si>
  <si>
    <t>ASUS</t>
  </si>
  <si>
    <t>Intel</t>
  </si>
  <si>
    <t>Kia</t>
  </si>
  <si>
    <t>Iphone</t>
  </si>
  <si>
    <t>Flipkart</t>
  </si>
  <si>
    <t>Amazon</t>
  </si>
  <si>
    <t>budget</t>
  </si>
  <si>
    <t>Game name</t>
  </si>
  <si>
    <t>BGMI</t>
  </si>
  <si>
    <t>PUBG PC</t>
  </si>
  <si>
    <t>VALORANT</t>
  </si>
  <si>
    <t>Chess</t>
  </si>
  <si>
    <t>CS2</t>
  </si>
  <si>
    <t>Coach</t>
  </si>
  <si>
    <t>Game analyst</t>
  </si>
  <si>
    <t>team manager</t>
  </si>
  <si>
    <t>SID</t>
  </si>
  <si>
    <t>Gukesh</t>
  </si>
  <si>
    <t>Astra</t>
  </si>
  <si>
    <t>Legend</t>
  </si>
  <si>
    <t>DRX</t>
  </si>
  <si>
    <t>Apex</t>
  </si>
  <si>
    <t>Legends</t>
  </si>
  <si>
    <t>Player id</t>
  </si>
  <si>
    <t>Player name</t>
  </si>
  <si>
    <t xml:space="preserve">Game id </t>
  </si>
  <si>
    <t>Joinnign date</t>
  </si>
  <si>
    <t>DUORA</t>
  </si>
  <si>
    <t>SPRAYGOD</t>
  </si>
  <si>
    <t>Jonathan</t>
  </si>
  <si>
    <t>Jelly</t>
  </si>
  <si>
    <t>Spower</t>
  </si>
  <si>
    <t>Manya</t>
  </si>
  <si>
    <t>Zap</t>
  </si>
  <si>
    <t>Goblin</t>
  </si>
  <si>
    <t>Aaru</t>
  </si>
  <si>
    <t>Akop</t>
  </si>
  <si>
    <t>Aatanki</t>
  </si>
  <si>
    <t>Nihal</t>
  </si>
  <si>
    <t>Sheek</t>
  </si>
  <si>
    <t>Preeti</t>
  </si>
  <si>
    <t>Shweta</t>
  </si>
  <si>
    <t>Scout</t>
  </si>
  <si>
    <t>Starlight</t>
  </si>
  <si>
    <t>Punk</t>
  </si>
  <si>
    <t>Wmax</t>
  </si>
  <si>
    <t>Hella</t>
  </si>
  <si>
    <t>Jalebee</t>
  </si>
  <si>
    <t>Spectre</t>
  </si>
  <si>
    <t>Cipher</t>
  </si>
  <si>
    <t>Drift</t>
  </si>
  <si>
    <t>Zenith</t>
  </si>
  <si>
    <t>Raptor</t>
  </si>
  <si>
    <t>Pulse</t>
  </si>
  <si>
    <t>Onyx</t>
  </si>
  <si>
    <t>Storm</t>
  </si>
  <si>
    <t>Falcon</t>
  </si>
  <si>
    <t>Ghost</t>
  </si>
  <si>
    <t>Hydra</t>
  </si>
  <si>
    <t>Kraken</t>
  </si>
  <si>
    <t>Nexus</t>
  </si>
  <si>
    <t>Aether</t>
  </si>
  <si>
    <t>Comet</t>
  </si>
  <si>
    <t>Wolfie</t>
  </si>
  <si>
    <t>SniperX</t>
  </si>
  <si>
    <t>Toxic</t>
  </si>
  <si>
    <t>Maverick</t>
  </si>
  <si>
    <t>Demon</t>
  </si>
  <si>
    <t>Chaos</t>
  </si>
  <si>
    <t>Creator id</t>
  </si>
  <si>
    <t xml:space="preserve"> rushi</t>
  </si>
  <si>
    <t>tanmay</t>
  </si>
  <si>
    <t>ruhi</t>
  </si>
  <si>
    <t>jagruti</t>
  </si>
  <si>
    <t>nayan</t>
  </si>
  <si>
    <t>aarya</t>
  </si>
  <si>
    <t>meera</t>
  </si>
  <si>
    <t xml:space="preserve"> sanket</t>
  </si>
  <si>
    <t>kaash</t>
  </si>
  <si>
    <t>riya</t>
  </si>
  <si>
    <t>tejashree</t>
  </si>
  <si>
    <t>Editor</t>
  </si>
  <si>
    <t>BRAND ID</t>
  </si>
  <si>
    <t>ID</t>
  </si>
  <si>
    <t>HANDLE</t>
  </si>
  <si>
    <t>VLOOKUP</t>
  </si>
  <si>
    <t>HLOOKUP</t>
  </si>
  <si>
    <t>Channel handle</t>
  </si>
  <si>
    <t xml:space="preserve">IF </t>
  </si>
  <si>
    <t>sumif</t>
  </si>
  <si>
    <t>Row Labels</t>
  </si>
  <si>
    <t>Grand Total</t>
  </si>
  <si>
    <t>Sum of views</t>
  </si>
  <si>
    <t>Sum of  salary</t>
  </si>
  <si>
    <t>Game id</t>
  </si>
  <si>
    <t>trophies</t>
  </si>
  <si>
    <t>Editor id</t>
  </si>
  <si>
    <t>Aarav Verma</t>
  </si>
  <si>
    <t>@aaravop22</t>
  </si>
  <si>
    <t>aaravop_613</t>
  </si>
  <si>
    <t>Vivaan Mehta</t>
  </si>
  <si>
    <t>@vivaanx21</t>
  </si>
  <si>
    <t>vivaanx_697</t>
  </si>
  <si>
    <t>Aditya Singh</t>
  </si>
  <si>
    <t>@adityatv12</t>
  </si>
  <si>
    <t>adityatv_944</t>
  </si>
  <si>
    <t>Vihaan Singh</t>
  </si>
  <si>
    <t>@vihaanop13</t>
  </si>
  <si>
    <t>vihaanop_828</t>
  </si>
  <si>
    <t>Arjun Joshi</t>
  </si>
  <si>
    <t>@arjungaming15</t>
  </si>
  <si>
    <t>arjungaming_282</t>
  </si>
  <si>
    <t>Reyansh Joshi</t>
  </si>
  <si>
    <t>@reyanshtv94</t>
  </si>
  <si>
    <t>reyanshtv_274</t>
  </si>
  <si>
    <t>Kabir Naik</t>
  </si>
  <si>
    <t>@kabirlive78</t>
  </si>
  <si>
    <t>kabirlive_991</t>
  </si>
  <si>
    <t>Krish Gupta</t>
  </si>
  <si>
    <t>@krishplays40</t>
  </si>
  <si>
    <t>krishplays_573</t>
  </si>
  <si>
    <t>Atharv Gupta</t>
  </si>
  <si>
    <t>@atharvgaming83</t>
  </si>
  <si>
    <t>atharvgaming_311</t>
  </si>
  <si>
    <t>Ayaan Patil</t>
  </si>
  <si>
    <t>@ayaanhub28</t>
  </si>
  <si>
    <t>ayaanhub_418</t>
  </si>
  <si>
    <t>Rohan Gupta</t>
  </si>
  <si>
    <t>@rohanop90</t>
  </si>
  <si>
    <t>rohanop_522</t>
  </si>
  <si>
    <t>Kunal Kulkarni</t>
  </si>
  <si>
    <t>@kunalgaming14</t>
  </si>
  <si>
    <t>kunalgaming_248</t>
  </si>
  <si>
    <t>Yash Naik</t>
  </si>
  <si>
    <t>@yashtv89</t>
  </si>
  <si>
    <t>yashtv_718</t>
  </si>
  <si>
    <t>Siddharth Singh</t>
  </si>
  <si>
    <t>@siddharthtv73</t>
  </si>
  <si>
    <t>siddharthtv_395</t>
  </si>
  <si>
    <t>Manav Sharma</t>
  </si>
  <si>
    <t>@manavgaming90</t>
  </si>
  <si>
    <t>manavgaming_687</t>
  </si>
  <si>
    <t>Dhruv Naik</t>
  </si>
  <si>
    <t>@dhruvtv28</t>
  </si>
  <si>
    <t>dhruvtv_536</t>
  </si>
  <si>
    <t>Ishaan Patil</t>
  </si>
  <si>
    <t>@ishaangaming30</t>
  </si>
  <si>
    <t>ishaangaming_223</t>
  </si>
  <si>
    <t>Nikhil Kulkarni</t>
  </si>
  <si>
    <t>@nikhilx14</t>
  </si>
  <si>
    <t>nikhilx_150</t>
  </si>
  <si>
    <t>Harsh Mehta</t>
  </si>
  <si>
    <t>@harshlive44</t>
  </si>
  <si>
    <t>harshlive_246</t>
  </si>
  <si>
    <t>Dev Naik</t>
  </si>
  <si>
    <t>@devgaming54</t>
  </si>
  <si>
    <t>devgaming_584</t>
  </si>
  <si>
    <t>Pranav Joshi</t>
  </si>
  <si>
    <t>@pranavtv96</t>
  </si>
  <si>
    <t>pranavtv_108</t>
  </si>
  <si>
    <t>Ritvik Joshi</t>
  </si>
  <si>
    <t>@ritviklive41</t>
  </si>
  <si>
    <t>ritviklive_582</t>
  </si>
  <si>
    <t>Aryan Mehta</t>
  </si>
  <si>
    <t>@aryanlive88</t>
  </si>
  <si>
    <t>aryanlive_864</t>
  </si>
  <si>
    <t>Tanish Patil</t>
  </si>
  <si>
    <t>@tanishhub72</t>
  </si>
  <si>
    <t>tanishhub_286</t>
  </si>
  <si>
    <t>Neel Naik</t>
  </si>
  <si>
    <t>@neelverse97</t>
  </si>
  <si>
    <t>neelverse_401</t>
  </si>
  <si>
    <t>Om Verma</t>
  </si>
  <si>
    <t>@omverse88</t>
  </si>
  <si>
    <t>omverse_949</t>
  </si>
  <si>
    <t>Soham Singh</t>
  </si>
  <si>
    <t>@sohamtv95</t>
  </si>
  <si>
    <t>sohamtv_728</t>
  </si>
  <si>
    <t>Aniket Deshmukh</t>
  </si>
  <si>
    <t>@aniketverse84</t>
  </si>
  <si>
    <t>aniketverse_796</t>
  </si>
  <si>
    <t>Parth Sharma</t>
  </si>
  <si>
    <t>@parthplays42</t>
  </si>
  <si>
    <t>parthplays_387</t>
  </si>
  <si>
    <t>Rudra Gupta</t>
  </si>
  <si>
    <t>@rudratv90</t>
  </si>
  <si>
    <t>rudratv_359</t>
  </si>
  <si>
    <t>Kartik Patil</t>
  </si>
  <si>
    <t>@kartikgaming11</t>
  </si>
  <si>
    <t>kartikgaming_260</t>
  </si>
  <si>
    <t>Laksh Deshmukh</t>
  </si>
  <si>
    <t>@lakshop29</t>
  </si>
  <si>
    <t>lakshop_621</t>
  </si>
  <si>
    <t>Ved Patil</t>
  </si>
  <si>
    <t>@vedplays15</t>
  </si>
  <si>
    <t>vedplays_687</t>
  </si>
  <si>
    <t>Rishi Mehta</t>
  </si>
  <si>
    <t>@rishiverse77</t>
  </si>
  <si>
    <t>rishiverse_807</t>
  </si>
  <si>
    <t>Aman Joshi</t>
  </si>
  <si>
    <t>@amanverse28</t>
  </si>
  <si>
    <t>amanverse_915</t>
  </si>
  <si>
    <t>Rahul Mehta</t>
  </si>
  <si>
    <t>@rahulgaming62</t>
  </si>
  <si>
    <t>rahulgaming_365</t>
  </si>
  <si>
    <t>Mohit Deshmukh</t>
  </si>
  <si>
    <t>@mohitverse60</t>
  </si>
  <si>
    <t>mohitverse_572</t>
  </si>
  <si>
    <t>Varun Deshmukh</t>
  </si>
  <si>
    <t>@varuntv48</t>
  </si>
  <si>
    <t>varuntv_713</t>
  </si>
  <si>
    <t>Akash Patil</t>
  </si>
  <si>
    <t>@akashlive19</t>
  </si>
  <si>
    <t>akashlive_533</t>
  </si>
  <si>
    <t>Ritesh Gupta</t>
  </si>
  <si>
    <t>@riteshop18</t>
  </si>
  <si>
    <t>riteshop_686</t>
  </si>
  <si>
    <t>Abhay Sharma</t>
  </si>
  <si>
    <t>@abhaytv69</t>
  </si>
  <si>
    <t>abhaytv_654</t>
  </si>
  <si>
    <t>Naman Mehta</t>
  </si>
  <si>
    <t>@namanop38</t>
  </si>
  <si>
    <t>namanop_454</t>
  </si>
  <si>
    <t>Shaurya Sharma</t>
  </si>
  <si>
    <t>@shauryagaming35</t>
  </si>
  <si>
    <t>shauryagaming_483</t>
  </si>
  <si>
    <t>Advik Patil</t>
  </si>
  <si>
    <t>@advikplays12</t>
  </si>
  <si>
    <t>advikplays_168</t>
  </si>
  <si>
    <t>Darsh Kulkarni</t>
  </si>
  <si>
    <t>@darshplays20</t>
  </si>
  <si>
    <t>darshplays_782</t>
  </si>
  <si>
    <t>Nirav Singh</t>
  </si>
  <si>
    <t>@niravlive69</t>
  </si>
  <si>
    <t>niravlive_613</t>
  </si>
  <si>
    <t>Arnav Deshmukh</t>
  </si>
  <si>
    <t>@arnavhub61</t>
  </si>
  <si>
    <t>arnavhub_600</t>
  </si>
  <si>
    <t>Abeer Gupta</t>
  </si>
  <si>
    <t>@abeertv57</t>
  </si>
  <si>
    <t>abeertv_265</t>
  </si>
  <si>
    <t>Yuvan Joshi</t>
  </si>
  <si>
    <t>@yuvantv83</t>
  </si>
  <si>
    <t>yuvantv_862</t>
  </si>
  <si>
    <t>Zayan Sharma</t>
  </si>
  <si>
    <t>@zayanverse54</t>
  </si>
  <si>
    <t>zayanverse_701</t>
  </si>
  <si>
    <t>NVIDIA</t>
  </si>
  <si>
    <t>MSI</t>
  </si>
  <si>
    <t>Acer</t>
  </si>
  <si>
    <t>Corsair</t>
  </si>
  <si>
    <t>Razer</t>
  </si>
  <si>
    <t>Alienware</t>
  </si>
  <si>
    <t>Zebronics</t>
  </si>
  <si>
    <t>boAt</t>
  </si>
  <si>
    <t>AOC</t>
  </si>
  <si>
    <t>BenQ</t>
  </si>
  <si>
    <t>HP Omen</t>
  </si>
  <si>
    <t>Dell</t>
  </si>
  <si>
    <t>SteelSeries</t>
  </si>
  <si>
    <t>Ant Esports</t>
  </si>
  <si>
    <t>Cooler Master</t>
  </si>
  <si>
    <t>NZXT</t>
  </si>
  <si>
    <t>Gigabyte</t>
  </si>
  <si>
    <t>ViewSonic</t>
  </si>
  <si>
    <t>Elgato</t>
  </si>
  <si>
    <t>Infinix</t>
  </si>
  <si>
    <t>Realme</t>
  </si>
  <si>
    <t>Nothing</t>
  </si>
  <si>
    <t>POCO</t>
  </si>
  <si>
    <t>Airtel</t>
  </si>
  <si>
    <t>Jio</t>
  </si>
  <si>
    <t>Paytm</t>
  </si>
  <si>
    <t>Swiggy</t>
  </si>
  <si>
    <t>Zomato</t>
  </si>
  <si>
    <t>Blinkit</t>
  </si>
  <si>
    <t>Spotify</t>
  </si>
  <si>
    <t>Discord</t>
  </si>
  <si>
    <t>Steam</t>
  </si>
  <si>
    <t>Epic Games</t>
  </si>
  <si>
    <t>Riot Games</t>
  </si>
  <si>
    <t>Ubisoft</t>
  </si>
  <si>
    <t>EA Sports</t>
  </si>
  <si>
    <t>Antec</t>
  </si>
  <si>
    <t>Kingston</t>
  </si>
  <si>
    <t>Western Digital</t>
  </si>
  <si>
    <t>Crucial</t>
  </si>
  <si>
    <t>XPG</t>
  </si>
  <si>
    <t>Galax</t>
  </si>
  <si>
    <t>Colorful</t>
  </si>
  <si>
    <t>ASRock</t>
  </si>
  <si>
    <t>Tecno</t>
  </si>
  <si>
    <t>Motorola</t>
  </si>
  <si>
    <t>Vivo</t>
  </si>
  <si>
    <t>Xiaomi</t>
  </si>
  <si>
    <t>Honor</t>
  </si>
  <si>
    <t>Adata</t>
  </si>
  <si>
    <t>Titan</t>
  </si>
  <si>
    <t>Nikhil</t>
  </si>
  <si>
    <t>Omkar</t>
  </si>
  <si>
    <t>Dev</t>
  </si>
  <si>
    <t>Rogue</t>
  </si>
  <si>
    <t>Vision</t>
  </si>
  <si>
    <t>Rishi</t>
  </si>
  <si>
    <t>Mobile Legends</t>
  </si>
  <si>
    <t>Zen</t>
  </si>
  <si>
    <t>Om</t>
  </si>
  <si>
    <t>Call of Duty Mobile</t>
  </si>
  <si>
    <t>Rohan</t>
  </si>
  <si>
    <t>Trackmania</t>
  </si>
  <si>
    <t>Tejo</t>
  </si>
  <si>
    <t>Karan</t>
  </si>
  <si>
    <t>Ayogi</t>
  </si>
  <si>
    <t>Honor of Kings</t>
  </si>
  <si>
    <t>Nova</t>
  </si>
  <si>
    <t>Kalan</t>
  </si>
  <si>
    <t>Reaper</t>
  </si>
  <si>
    <t>Aman</t>
  </si>
  <si>
    <t>Himanshu</t>
  </si>
  <si>
    <t>Apex Legends</t>
  </si>
  <si>
    <t>Lara</t>
  </si>
  <si>
    <t>PUBG Mobile</t>
  </si>
  <si>
    <t>Omega</t>
  </si>
  <si>
    <t>Rocket League</t>
  </si>
  <si>
    <t>Alpha</t>
  </si>
  <si>
    <t>Aditya</t>
  </si>
  <si>
    <t>Free Fire MAX</t>
  </si>
  <si>
    <t>Aryan</t>
  </si>
  <si>
    <t>Dota 2</t>
  </si>
  <si>
    <t>Hex</t>
  </si>
  <si>
    <t>League of Legends</t>
  </si>
  <si>
    <t>Rainbow Six Siege</t>
  </si>
  <si>
    <t>Learn</t>
  </si>
  <si>
    <t>Overwatch 2</t>
  </si>
  <si>
    <t>Harsh</t>
  </si>
  <si>
    <t>Fortnite</t>
  </si>
  <si>
    <t>Sage</t>
  </si>
  <si>
    <t>Marvel Rivals</t>
  </si>
  <si>
    <t>Aurum</t>
  </si>
  <si>
    <t>Vibhuti</t>
  </si>
  <si>
    <t>Delta Force</t>
  </si>
  <si>
    <t>EA FC 26</t>
  </si>
  <si>
    <t>Terris</t>
  </si>
  <si>
    <t>Street Fighter 6</t>
  </si>
  <si>
    <t>Tekken 8</t>
  </si>
  <si>
    <t>Warzone</t>
  </si>
  <si>
    <t>Fury</t>
  </si>
  <si>
    <t>Arena Breakout</t>
  </si>
  <si>
    <t>Palworld</t>
  </si>
  <si>
    <t>The Finals</t>
  </si>
  <si>
    <t>Brawl Stars</t>
  </si>
  <si>
    <t>Pixel</t>
  </si>
  <si>
    <t>Clash Royale</t>
  </si>
  <si>
    <t>Teamfight Tactics</t>
  </si>
  <si>
    <t>Blaze</t>
  </si>
  <si>
    <t>CLUTCHGOD</t>
  </si>
  <si>
    <t>Admino</t>
  </si>
  <si>
    <t>Nura</t>
  </si>
  <si>
    <t>Vortex</t>
  </si>
  <si>
    <t>Frost</t>
  </si>
  <si>
    <t>Venom</t>
  </si>
  <si>
    <t>Hunter</t>
  </si>
  <si>
    <t>Shadow</t>
  </si>
  <si>
    <t>Inferno</t>
  </si>
  <si>
    <t>Echo</t>
  </si>
  <si>
    <t>Phantom</t>
  </si>
  <si>
    <t>Orbit</t>
  </si>
  <si>
    <t>Glitch</t>
  </si>
  <si>
    <t>Razor</t>
  </si>
  <si>
    <t>Havoc</t>
  </si>
  <si>
    <t>Bullet</t>
  </si>
  <si>
    <t>Karma</t>
  </si>
  <si>
    <t>Zero</t>
  </si>
  <si>
    <t>Bravo</t>
  </si>
  <si>
    <t>Cobra</t>
  </si>
  <si>
    <t>Matrix</t>
  </si>
  <si>
    <t>Striker</t>
  </si>
  <si>
    <t>Raven</t>
  </si>
  <si>
    <t>Bolt</t>
  </si>
  <si>
    <t>Ace</t>
  </si>
  <si>
    <t>Sonic</t>
  </si>
  <si>
    <t>Rift</t>
  </si>
  <si>
    <t>Rex</t>
  </si>
  <si>
    <t>Hawk</t>
  </si>
  <si>
    <t>Riot</t>
  </si>
  <si>
    <t>Kilo</t>
  </si>
  <si>
    <t>Lynx</t>
  </si>
  <si>
    <t>Orion</t>
  </si>
  <si>
    <t>Viper</t>
  </si>
  <si>
    <t>Saber</t>
  </si>
  <si>
    <t>Trigger</t>
  </si>
  <si>
    <t>Mamba</t>
  </si>
  <si>
    <t>Aarav</t>
  </si>
  <si>
    <t>Thumbnail Designer</t>
  </si>
  <si>
    <t>Social Media Manager</t>
  </si>
  <si>
    <t>Neha</t>
  </si>
  <si>
    <t>Marketing Executive</t>
  </si>
  <si>
    <t>Priya</t>
  </si>
  <si>
    <t>Graphic Designer</t>
  </si>
  <si>
    <t>Content Strategist</t>
  </si>
  <si>
    <t>Sneha</t>
  </si>
  <si>
    <t>Community Manager</t>
  </si>
  <si>
    <t>Vivek</t>
  </si>
  <si>
    <t>Talent Manager</t>
  </si>
  <si>
    <t>Sahil</t>
  </si>
  <si>
    <t>Esports Manager</t>
  </si>
  <si>
    <t>Ananya</t>
  </si>
  <si>
    <t>Rahul</t>
  </si>
  <si>
    <t>Ishita</t>
  </si>
  <si>
    <t>Camera Operator</t>
  </si>
  <si>
    <t>Motion Graphics Designer</t>
  </si>
  <si>
    <t>Pooja</t>
  </si>
  <si>
    <t>Video Producer</t>
  </si>
  <si>
    <t>Yash</t>
  </si>
  <si>
    <t>HR Executive</t>
  </si>
  <si>
    <t>Tanvi</t>
  </si>
  <si>
    <t>Data Analyst</t>
  </si>
  <si>
    <t>Streamer Manager</t>
  </si>
  <si>
    <t>Ritika</t>
  </si>
  <si>
    <t>Content Writer</t>
  </si>
  <si>
    <t>Sakshi</t>
  </si>
  <si>
    <t>Akash</t>
  </si>
  <si>
    <t>SEO Specialist</t>
  </si>
  <si>
    <t>Mehul</t>
  </si>
  <si>
    <t>Finance Executive</t>
  </si>
  <si>
    <t>Simran</t>
  </si>
  <si>
    <t>Krisha</t>
  </si>
  <si>
    <t>Project Coordinator</t>
  </si>
  <si>
    <t>Ved</t>
  </si>
  <si>
    <t>Riya</t>
  </si>
  <si>
    <t>Manav</t>
  </si>
  <si>
    <t>Name</t>
  </si>
  <si>
    <t>Position</t>
  </si>
  <si>
    <t>Salary</t>
  </si>
  <si>
    <t>Brand Partnership Manager</t>
  </si>
  <si>
    <t>Operations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</si>
</sst>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Aptos Narrow"/>
      <family val="2"/>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49" fontId="0" fillId="0" borderId="0" xfId="0" applyNumberFormat="1"/>
    <xf numFmtId="1" fontId="0" fillId="0" borderId="0" xfId="0" applyNumberFormat="1"/>
    <xf numFmtId="0" fontId="0" fillId="0" borderId="1" xfId="0" applyBorder="1" applyAlignment="1">
      <alignment horizontal="center"/>
    </xf>
    <xf numFmtId="0" fontId="0" fillId="0" borderId="0" xfId="0" pivotButton="1"/>
    <xf numFmtId="0" fontId="0" fillId="0" borderId="0" xfId="0" applyAlignment="1">
      <alignment horizontal="left"/>
    </xf>
    <xf numFmtId="0" fontId="0" fillId="2" borderId="1" xfId="0" applyFill="1" applyBorder="1" applyAlignment="1">
      <alignment horizontal="center"/>
    </xf>
    <xf numFmtId="0" fontId="0" fillId="0" borderId="1" xfId="0" applyBorder="1" applyAlignment="1">
      <alignment horizontal="center"/>
    </xf>
    <xf numFmtId="0" fontId="1"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[hydra esportss.xlsx]Pivot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kavisha</c:v>
                </c:pt>
              </c:strCache>
            </c:strRef>
          </c:cat>
          <c:val>
            <c:numRef>
              <c:f>'Pivot table'!$B$4:$B$5</c:f>
              <c:numCache>
                <c:formatCode>General</c:formatCode>
                <c:ptCount val="1"/>
                <c:pt idx="0">
                  <c:v>1250000</c:v>
                </c:pt>
              </c:numCache>
            </c:numRef>
          </c:val>
          <c:extLst>
            <c:ext xmlns:c16="http://schemas.microsoft.com/office/drawing/2014/chart" uri="{C3380CC4-5D6E-409C-BE32-E72D297353CC}">
              <c16:uniqueId val="{00000000-0A9D-4798-A2D6-151A1ABF3A53}"/>
            </c:ext>
          </c:extLst>
        </c:ser>
        <c:dLbls>
          <c:showLegendKey val="0"/>
          <c:showVal val="0"/>
          <c:showCatName val="0"/>
          <c:showSerName val="0"/>
          <c:showPercent val="0"/>
          <c:showBubbleSize val="0"/>
        </c:dLbls>
        <c:gapWidth val="219"/>
        <c:overlap val="-27"/>
        <c:axId val="1126944031"/>
        <c:axId val="1126940671"/>
      </c:barChart>
      <c:catAx>
        <c:axId val="112694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40671"/>
        <c:crosses val="autoZero"/>
        <c:auto val="1"/>
        <c:lblAlgn val="ctr"/>
        <c:lblOffset val="100"/>
        <c:noMultiLvlLbl val="0"/>
      </c:catAx>
      <c:valAx>
        <c:axId val="112694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4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[hydra esportss.xlsx]Pivot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pieChart>
        <c:varyColors val="1"/>
        <c:ser>
          <c:idx val="0"/>
          <c:order val="0"/>
          <c:tx>
            <c:strRef>
              <c:f>'Pivot table'!$B$19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7C2-4CAA-B762-FF0C18BBBDD7}"/>
              </c:ext>
            </c:extLst>
          </c:dPt>
          <c:dPt>
            <c:idx val="1"/>
            <c:bubble3D val="0"/>
            <c:spPr>
              <a:solidFill>
                <a:schemeClr val="accent2"/>
              </a:solidFill>
              <a:ln>
                <a:noFill/>
              </a:ln>
              <a:effectLst/>
            </c:spPr>
            <c:extLst>
              <c:ext xmlns:c16="http://schemas.microsoft.com/office/drawing/2014/chart" uri="{C3380CC4-5D6E-409C-BE32-E72D297353CC}">
                <c16:uniqueId val="{00000003-57C2-4CAA-B762-FF0C18BBBDD7}"/>
              </c:ext>
            </c:extLst>
          </c:dPt>
          <c:dPt>
            <c:idx val="2"/>
            <c:bubble3D val="0"/>
            <c:spPr>
              <a:solidFill>
                <a:schemeClr val="accent3"/>
              </a:solidFill>
              <a:ln>
                <a:noFill/>
              </a:ln>
              <a:effectLst/>
            </c:spPr>
            <c:extLst>
              <c:ext xmlns:c16="http://schemas.microsoft.com/office/drawing/2014/chart" uri="{C3380CC4-5D6E-409C-BE32-E72D297353CC}">
                <c16:uniqueId val="{00000005-57C2-4CAA-B762-FF0C18BBBDD7}"/>
              </c:ext>
            </c:extLst>
          </c:dPt>
          <c:dPt>
            <c:idx val="3"/>
            <c:bubble3D val="0"/>
            <c:spPr>
              <a:solidFill>
                <a:schemeClr val="accent4"/>
              </a:solidFill>
              <a:ln>
                <a:noFill/>
              </a:ln>
              <a:effectLst/>
            </c:spPr>
            <c:extLst>
              <c:ext xmlns:c16="http://schemas.microsoft.com/office/drawing/2014/chart" uri="{C3380CC4-5D6E-409C-BE32-E72D297353CC}">
                <c16:uniqueId val="{00000007-57C2-4CAA-B762-FF0C18BBBDD7}"/>
              </c:ext>
            </c:extLst>
          </c:dPt>
          <c:dPt>
            <c:idx val="4"/>
            <c:bubble3D val="0"/>
            <c:spPr>
              <a:solidFill>
                <a:schemeClr val="accent5"/>
              </a:solidFill>
              <a:ln>
                <a:noFill/>
              </a:ln>
              <a:effectLst/>
            </c:spPr>
            <c:extLst>
              <c:ext xmlns:c16="http://schemas.microsoft.com/office/drawing/2014/chart" uri="{C3380CC4-5D6E-409C-BE32-E72D297353CC}">
                <c16:uniqueId val="{00000009-57C2-4CAA-B762-FF0C18BBBDD7}"/>
              </c:ext>
            </c:extLst>
          </c:dPt>
          <c:dPt>
            <c:idx val="5"/>
            <c:bubble3D val="0"/>
            <c:spPr>
              <a:solidFill>
                <a:schemeClr val="accent6"/>
              </a:solidFill>
              <a:ln>
                <a:noFill/>
              </a:ln>
              <a:effectLst/>
            </c:spPr>
            <c:extLst>
              <c:ext xmlns:c16="http://schemas.microsoft.com/office/drawing/2014/chart" uri="{C3380CC4-5D6E-409C-BE32-E72D297353CC}">
                <c16:uniqueId val="{0000000B-57C2-4CAA-B762-FF0C18BBBDD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7C2-4CAA-B762-FF0C18BBBDD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7C2-4CAA-B762-FF0C18BBBDD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7C2-4CAA-B762-FF0C18BBBDD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7C2-4CAA-B762-FF0C18BBBDD7}"/>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57C2-4CAA-B762-FF0C18BBBD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table'!$A$20:$A$31</c:f>
              <c:strCache>
                <c:ptCount val="11"/>
                <c:pt idx="0">
                  <c:v> rushi</c:v>
                </c:pt>
                <c:pt idx="1">
                  <c:v> sanket</c:v>
                </c:pt>
                <c:pt idx="2">
                  <c:v>aarya</c:v>
                </c:pt>
                <c:pt idx="3">
                  <c:v>jagruti</c:v>
                </c:pt>
                <c:pt idx="4">
                  <c:v>kaash</c:v>
                </c:pt>
                <c:pt idx="5">
                  <c:v>meera</c:v>
                </c:pt>
                <c:pt idx="6">
                  <c:v>nayan</c:v>
                </c:pt>
                <c:pt idx="7">
                  <c:v>riya</c:v>
                </c:pt>
                <c:pt idx="8">
                  <c:v>ruhi</c:v>
                </c:pt>
                <c:pt idx="9">
                  <c:v>tanmay</c:v>
                </c:pt>
                <c:pt idx="10">
                  <c:v>tejashree</c:v>
                </c:pt>
              </c:strCache>
            </c:strRef>
          </c:cat>
          <c:val>
            <c:numRef>
              <c:f>'Pivot table'!$B$20:$B$31</c:f>
              <c:numCache>
                <c:formatCode>General</c:formatCode>
                <c:ptCount val="11"/>
                <c:pt idx="0">
                  <c:v>12000</c:v>
                </c:pt>
                <c:pt idx="1">
                  <c:v>10000</c:v>
                </c:pt>
                <c:pt idx="2">
                  <c:v>18000</c:v>
                </c:pt>
                <c:pt idx="3">
                  <c:v>35000</c:v>
                </c:pt>
                <c:pt idx="4">
                  <c:v>15000</c:v>
                </c:pt>
                <c:pt idx="5">
                  <c:v>10000</c:v>
                </c:pt>
                <c:pt idx="6">
                  <c:v>12000</c:v>
                </c:pt>
                <c:pt idx="7">
                  <c:v>18000</c:v>
                </c:pt>
                <c:pt idx="8">
                  <c:v>20000</c:v>
                </c:pt>
                <c:pt idx="9">
                  <c:v>20000</c:v>
                </c:pt>
                <c:pt idx="10">
                  <c:v>10000</c:v>
                </c:pt>
              </c:numCache>
            </c:numRef>
          </c:val>
          <c:extLst>
            <c:ext xmlns:c16="http://schemas.microsoft.com/office/drawing/2014/chart" uri="{C3380CC4-5D6E-409C-BE32-E72D297353CC}">
              <c16:uniqueId val="{00000000-2949-4B2B-AB0B-D76053E35AC4}"/>
            </c:ext>
          </c:extLst>
        </c:ser>
        <c:dLbls>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365125</xdr:colOff>
      <xdr:row>0</xdr:row>
      <xdr:rowOff>0</xdr:rowOff>
    </xdr:from>
    <xdr:to>
      <xdr:col>13</xdr:col>
      <xdr:colOff>60325</xdr:colOff>
      <xdr:row>14</xdr:row>
      <xdr:rowOff>165100</xdr:rowOff>
    </xdr:to>
    <xdr:graphicFrame macro="">
      <xdr:nvGraphicFramePr>
        <xdr:cNvPr id="2" name="Chart 1">
          <a:extLst>
            <a:ext uri="{FF2B5EF4-FFF2-40B4-BE49-F238E27FC236}">
              <a16:creationId xmlns:a16="http://schemas.microsoft.com/office/drawing/2014/main" id="{C5BE78A3-F1AE-7611-7940-B36F6B6CD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393700</xdr:colOff>
      <xdr:row>0</xdr:row>
      <xdr:rowOff>0</xdr:rowOff>
    </xdr:from>
    <xdr:to>
      <xdr:col>5</xdr:col>
      <xdr:colOff>393700</xdr:colOff>
      <xdr:row>14</xdr:row>
      <xdr:rowOff>146050</xdr:rowOff>
    </xdr:to>
    <mc:AlternateContent xmlns:mc="http://schemas.openxmlformats.org/markup-compatibility/2006" xmlns:a14="http://schemas.microsoft.com/office/drawing/2010/main">
      <mc:Choice Requires="a14">
        <xdr:graphicFrame macro="">
          <xdr:nvGraphicFramePr>
            <xdr:cNvPr id="3" name="Creator name">
              <a:extLst>
                <a:ext uri="{FF2B5EF4-FFF2-40B4-BE49-F238E27FC236}">
                  <a16:creationId xmlns:a16="http://schemas.microsoft.com/office/drawing/2014/main" id="{FA9609C3-8B7A-7ADE-1A17-A0C7C52F7815}"/>
                </a:ext>
              </a:extLst>
            </xdr:cNvPr>
            <xdr:cNvGraphicFramePr/>
          </xdr:nvGraphicFramePr>
          <xdr:xfrm>
            <a:off x="0" y="0"/>
            <a:ext cx="0" cy="0"/>
          </xdr:xfrm>
          <a:graphic>
            <a:graphicData uri="http://schemas.microsoft.com/office/drawing/2010/slicer">
              <sle:slicer xmlns:sle="http://schemas.microsoft.com/office/drawing/2010/slicer" name="Creator name"/>
            </a:graphicData>
          </a:graphic>
        </xdr:graphicFrame>
      </mc:Choice>
      <mc:Fallback xmlns="">
        <xdr:sp macro="" textlink="">
          <xdr:nvSpPr>
            <xdr:cNvPr id="0" name=""/>
            <xdr:cNvSpPr>
              <a:spLocks noTextEdit="1"/>
            </xdr:cNvSpPr>
          </xdr:nvSpPr>
          <xdr:spPr>
            <a:xfrm>
              <a:off x="2076450" y="0"/>
              <a:ext cx="1828800" cy="272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44450</xdr:colOff>
      <xdr:row>0</xdr:row>
      <xdr:rowOff>0</xdr:rowOff>
    </xdr:from>
    <xdr:to>
      <xdr:col>16</xdr:col>
      <xdr:colOff>44450</xdr:colOff>
      <xdr:row>15</xdr:row>
      <xdr:rowOff>0</xdr:rowOff>
    </xdr:to>
    <mc:AlternateContent xmlns:mc="http://schemas.openxmlformats.org/markup-compatibility/2006" xmlns:a14="http://schemas.microsoft.com/office/drawing/2010/main">
      <mc:Choice Requires="a14">
        <xdr:graphicFrame macro="">
          <xdr:nvGraphicFramePr>
            <xdr:cNvPr id="4" name="views">
              <a:extLst>
                <a:ext uri="{FF2B5EF4-FFF2-40B4-BE49-F238E27FC236}">
                  <a16:creationId xmlns:a16="http://schemas.microsoft.com/office/drawing/2014/main" id="{816F29E4-6AF9-D272-003B-02CEA8595E7F}"/>
                </a:ext>
              </a:extLst>
            </xdr:cNvPr>
            <xdr:cNvGraphicFramePr/>
          </xdr:nvGraphicFramePr>
          <xdr:xfrm>
            <a:off x="0" y="0"/>
            <a:ext cx="0" cy="0"/>
          </xdr:xfrm>
          <a:graphic>
            <a:graphicData uri="http://schemas.microsoft.com/office/drawing/2010/slicer">
              <sle:slicer xmlns:sle="http://schemas.microsoft.com/office/drawing/2010/slicer" name="views"/>
            </a:graphicData>
          </a:graphic>
        </xdr:graphicFrame>
      </mc:Choice>
      <mc:Fallback xmlns="">
        <xdr:sp macro="" textlink="">
          <xdr:nvSpPr>
            <xdr:cNvPr id="0" name=""/>
            <xdr:cNvSpPr>
              <a:spLocks noTextEdit="1"/>
            </xdr:cNvSpPr>
          </xdr:nvSpPr>
          <xdr:spPr>
            <a:xfrm>
              <a:off x="8947150" y="0"/>
              <a:ext cx="1828800"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365125</xdr:colOff>
      <xdr:row>14</xdr:row>
      <xdr:rowOff>171450</xdr:rowOff>
    </xdr:from>
    <xdr:to>
      <xdr:col>12</xdr:col>
      <xdr:colOff>155575</xdr:colOff>
      <xdr:row>29</xdr:row>
      <xdr:rowOff>152400</xdr:rowOff>
    </xdr:to>
    <xdr:graphicFrame macro="">
      <xdr:nvGraphicFramePr>
        <xdr:cNvPr id="6" name="Chart 5">
          <a:extLst>
            <a:ext uri="{FF2B5EF4-FFF2-40B4-BE49-F238E27FC236}">
              <a16:creationId xmlns:a16="http://schemas.microsoft.com/office/drawing/2014/main" id="{A5B9A812-FB53-4738-E886-1A7D0C1A4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Rajput" refreshedDate="46201.492282870371" createdVersion="8" refreshedVersion="8" minRefreshableVersion="3" recordCount="20" xr:uid="{103F80B2-201F-4D90-B93C-3778F49D8628}">
  <cacheSource type="worksheet">
    <worksheetSource ref="A1:I21" sheet="Creators"/>
  </cacheSource>
  <cacheFields count="9">
    <cacheField name="Creators id " numFmtId="0">
      <sharedItems containsSemiMixedTypes="0" containsString="0" containsNumber="1" containsInteger="1" minValue="1" maxValue="20"/>
    </cacheField>
    <cacheField name="Creator name" numFmtId="0">
      <sharedItems count="19">
        <s v="Sarika "/>
        <s v="mannat"/>
        <s v="kavisha"/>
        <s v="nitu"/>
        <s v="aladin"/>
        <s v="angad"/>
        <s v="leon"/>
        <s v="uma"/>
        <s v="pragya"/>
        <s v="kiara"/>
        <s v="vaibhav"/>
        <s v="shruti"/>
        <s v="mukti"/>
        <s v="isha"/>
        <s v="ankit"/>
        <s v="danger"/>
        <s v="arya"/>
        <s v="can"/>
        <s v="TSU"/>
      </sharedItems>
    </cacheField>
    <cacheField name="channel handle" numFmtId="49">
      <sharedItems/>
    </cacheField>
    <cacheField name="sub count" numFmtId="0">
      <sharedItems containsSemiMixedTypes="0" containsString="0" containsNumber="1" containsInteger="1" minValue="2460" maxValue="998000"/>
    </cacheField>
    <cacheField name="insta id" numFmtId="49">
      <sharedItems/>
    </cacheField>
    <cacheField name="views" numFmtId="0">
      <sharedItems containsSemiMixedTypes="0" containsString="0" containsNumber="1" containsInteger="1" minValue="48500" maxValue="12400000" count="20">
        <n v="48500"/>
        <n v="132000"/>
        <n v="1250000"/>
        <n v="8700000"/>
        <n v="945000"/>
        <n v="278000"/>
        <n v="156000"/>
        <n v="684000"/>
        <n v="2340000"/>
        <n v="1120000"/>
        <n v="5800000"/>
        <n v="792000"/>
        <n v="365000"/>
        <n v="3150000"/>
        <n v="12400000"/>
        <n v="875000"/>
        <n v="1460000"/>
        <n v="4920000"/>
        <n v="610000"/>
        <n v="7300000"/>
      </sharedItems>
    </cacheField>
    <cacheField name="Editor" numFmtId="1">
      <sharedItems containsSemiMixedTypes="0" containsString="0" containsNumber="1" minValue="201" maxValue="222.95238095238099"/>
    </cacheField>
    <cacheField name="BRAND ID" numFmtId="0">
      <sharedItems containsSemiMixedTypes="0" containsString="0" containsNumber="1" containsInteger="1" minValue="501" maxValue="519"/>
    </cacheField>
    <cacheField name="IF " numFmtId="0">
      <sharedItems/>
    </cacheField>
  </cacheFields>
  <extLst>
    <ext xmlns:x14="http://schemas.microsoft.com/office/spreadsheetml/2009/9/main" uri="{725AE2AE-9491-48be-B2B4-4EB974FC3084}">
      <x14:pivotCacheDefinition pivotCacheId="19880884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Rajput" refreshedDate="46201.51201875" createdVersion="8" refreshedVersion="8" minRefreshableVersion="3" recordCount="11" xr:uid="{A3E365F0-6C9C-49AB-9E5C-BB1D5BA7F6E0}">
  <cacheSource type="worksheet">
    <worksheetSource ref="A1:D12" sheet="backend"/>
  </cacheSource>
  <cacheFields count="4">
    <cacheField name="id" numFmtId="0">
      <sharedItems containsSemiMixedTypes="0" containsString="0" containsNumber="1" containsInteger="1" minValue="200" maxValue="210"/>
    </cacheField>
    <cacheField name="name" numFmtId="0">
      <sharedItems count="11">
        <s v=" rushi"/>
        <s v="tanmay"/>
        <s v="ruhi"/>
        <s v="jagruti"/>
        <s v="nayan"/>
        <s v="aarya"/>
        <s v="meera"/>
        <s v=" sanket"/>
        <s v="kaash"/>
        <s v="riya"/>
        <s v="tejashree"/>
      </sharedItems>
    </cacheField>
    <cacheField name="posi" numFmtId="0">
      <sharedItems/>
    </cacheField>
    <cacheField name=" salary" numFmtId="0">
      <sharedItems containsSemiMixedTypes="0" containsString="0" containsNumber="1" containsInteger="1" minValue="10000" maxValue="35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s v="@sarikaplays"/>
    <n v="5000"/>
    <s v="@sarikaaplays"/>
    <x v="0"/>
    <n v="201"/>
    <n v="519"/>
    <s v="not"/>
  </r>
  <r>
    <n v="2"/>
    <x v="1"/>
    <s v="@mannatwaslive"/>
    <n v="7000"/>
    <s v="@mannatlive"/>
    <x v="1"/>
    <n v="201"/>
    <n v="501"/>
    <s v="eligible"/>
  </r>
  <r>
    <n v="3"/>
    <x v="2"/>
    <s v="@kavvaie"/>
    <n v="14000"/>
    <s v="@kavaiee"/>
    <x v="2"/>
    <n v="201"/>
    <n v="510"/>
    <s v="eligible"/>
  </r>
  <r>
    <n v="4"/>
    <x v="3"/>
    <s v="@nitsi"/>
    <n v="35000"/>
    <s v="@itsnitshi"/>
    <x v="3"/>
    <n v="210"/>
    <n v="505"/>
    <s v="eligible"/>
  </r>
  <r>
    <n v="5"/>
    <x v="4"/>
    <s v="@nade flick"/>
    <n v="201000"/>
    <s v="@nadeflickk"/>
    <x v="4"/>
    <n v="202"/>
    <n v="511"/>
    <s v="eligible"/>
  </r>
  <r>
    <n v="6"/>
    <x v="5"/>
    <s v="@itsaang"/>
    <n v="83000"/>
    <s v="@aang"/>
    <x v="5"/>
    <n v="201"/>
    <n v="516"/>
    <s v="eligible"/>
  </r>
  <r>
    <n v="7"/>
    <x v="6"/>
    <s v="@leonwalkthrough"/>
    <n v="123000"/>
    <s v="@leon"/>
    <x v="6"/>
    <n v="210"/>
    <n v="503"/>
    <s v="eligible"/>
  </r>
  <r>
    <n v="8"/>
    <x v="7"/>
    <s v="@missgamer"/>
    <n v="5000"/>
    <s v="@missgamergirl"/>
    <x v="7"/>
    <n v="210"/>
    <n v="501"/>
    <s v="not"/>
  </r>
  <r>
    <n v="9"/>
    <x v="8"/>
    <s v="@gamerarshi"/>
    <n v="7000"/>
    <s v="@gamerarshii"/>
    <x v="8"/>
    <n v="209.857142857143"/>
    <n v="509"/>
    <s v="eligible"/>
  </r>
  <r>
    <n v="10"/>
    <x v="9"/>
    <s v="@kiaragaming"/>
    <n v="101000"/>
    <s v="@kiaralifestyle"/>
    <x v="9"/>
    <n v="211.04761904761901"/>
    <n v="514"/>
    <s v="eligible"/>
  </r>
  <r>
    <n v="11"/>
    <x v="10"/>
    <s v="@vaibhavstrems"/>
    <n v="2460"/>
    <s v="@vaibhavstreams"/>
    <x v="10"/>
    <n v="212.23809523809501"/>
    <n v="505"/>
    <s v="not"/>
  </r>
  <r>
    <n v="12"/>
    <x v="11"/>
    <s v="@inferno"/>
    <n v="10000"/>
    <s v="@shrutichauan"/>
    <x v="11"/>
    <n v="213.42857142857099"/>
    <n v="519"/>
    <s v="eligible"/>
  </r>
  <r>
    <n v="13"/>
    <x v="12"/>
    <s v="@muktiplays"/>
    <n v="32000"/>
    <s v="@muktigamer"/>
    <x v="12"/>
    <n v="214.61904761904799"/>
    <n v="507"/>
    <s v="eligible"/>
  </r>
  <r>
    <n v="14"/>
    <x v="13"/>
    <s v="@gamerisha"/>
    <n v="5000"/>
    <s v="@gamerishaa"/>
    <x v="13"/>
    <n v="215.80952380952399"/>
    <n v="504"/>
    <s v="not"/>
  </r>
  <r>
    <n v="15"/>
    <x v="8"/>
    <s v="@gamerarshi"/>
    <n v="6500"/>
    <s v="@arshigamer"/>
    <x v="14"/>
    <n v="217"/>
    <n v="501"/>
    <s v="eligible"/>
  </r>
  <r>
    <n v="16"/>
    <x v="14"/>
    <s v="@mastizonegaming"/>
    <n v="605900"/>
    <s v="@mastizone"/>
    <x v="15"/>
    <n v="218.19047619047601"/>
    <n v="504"/>
    <s v="eligible"/>
  </r>
  <r>
    <n v="17"/>
    <x v="15"/>
    <s v="@hydradanger"/>
    <n v="998000"/>
    <s v="@danger"/>
    <x v="16"/>
    <n v="219.38095238095201"/>
    <n v="517"/>
    <s v="eligible"/>
  </r>
  <r>
    <n v="18"/>
    <x v="16"/>
    <s v="@aryasan"/>
    <n v="3000"/>
    <s v="@arya"/>
    <x v="17"/>
    <n v="220.57142857142901"/>
    <n v="512"/>
    <s v="not"/>
  </r>
  <r>
    <n v="19"/>
    <x v="17"/>
    <s v="@CANCANARYCAN"/>
    <n v="6000"/>
    <s v="@canary"/>
    <x v="18"/>
    <n v="221.76190476190499"/>
    <n v="502"/>
    <s v="not"/>
  </r>
  <r>
    <n v="20"/>
    <x v="18"/>
    <s v="@tsunamicat"/>
    <n v="100000"/>
    <s v="@tsumicat"/>
    <x v="19"/>
    <n v="222.95238095238099"/>
    <n v="508"/>
    <s v="eligib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200"/>
    <x v="0"/>
    <s v="Cooking"/>
    <n v="12000"/>
  </r>
  <r>
    <n v="201"/>
    <x v="1"/>
    <s v="Editor"/>
    <n v="20000"/>
  </r>
  <r>
    <n v="202"/>
    <x v="2"/>
    <s v="Editor"/>
    <n v="20000"/>
  </r>
  <r>
    <n v="203"/>
    <x v="3"/>
    <s v="Editor"/>
    <n v="35000"/>
  </r>
  <r>
    <n v="204"/>
    <x v="4"/>
    <s v="Cooking"/>
    <n v="12000"/>
  </r>
  <r>
    <n v="205"/>
    <x v="5"/>
    <s v="thumbnail maker"/>
    <n v="18000"/>
  </r>
  <r>
    <n v="206"/>
    <x v="6"/>
    <s v="social media handler"/>
    <n v="10000"/>
  </r>
  <r>
    <n v="207"/>
    <x v="7"/>
    <s v="social media handler"/>
    <n v="10000"/>
  </r>
  <r>
    <n v="208"/>
    <x v="8"/>
    <s v="Point of contact"/>
    <n v="15000"/>
  </r>
  <r>
    <n v="209"/>
    <x v="9"/>
    <s v="Marketing"/>
    <n v="18000"/>
  </r>
  <r>
    <n v="210"/>
    <x v="10"/>
    <s v="Editor"/>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FB8460-0682-4A69-B2A6-9FDF571C38B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31" firstHeaderRow="1" firstDataRow="1" firstDataCol="1"/>
  <pivotFields count="4">
    <pivotField showAll="0"/>
    <pivotField axis="axisRow" showAll="0">
      <items count="12">
        <item x="0"/>
        <item x="7"/>
        <item x="5"/>
        <item x="3"/>
        <item x="8"/>
        <item x="6"/>
        <item x="4"/>
        <item x="9"/>
        <item x="2"/>
        <item x="1"/>
        <item x="10"/>
        <item t="default"/>
      </items>
    </pivotField>
    <pivotField showAll="0"/>
    <pivotField dataField="1" showAll="0"/>
  </pivotFields>
  <rowFields count="1">
    <field x="1"/>
  </rowFields>
  <rowItems count="12">
    <i>
      <x/>
    </i>
    <i>
      <x v="1"/>
    </i>
    <i>
      <x v="2"/>
    </i>
    <i>
      <x v="3"/>
    </i>
    <i>
      <x v="4"/>
    </i>
    <i>
      <x v="5"/>
    </i>
    <i>
      <x v="6"/>
    </i>
    <i>
      <x v="7"/>
    </i>
    <i>
      <x v="8"/>
    </i>
    <i>
      <x v="9"/>
    </i>
    <i>
      <x v="10"/>
    </i>
    <i t="grand">
      <x/>
    </i>
  </rowItems>
  <colItems count="1">
    <i/>
  </colItems>
  <dataFields count="1">
    <dataField name="Sum of  salary"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448163-02FF-454A-A8E2-6FD9478EAC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9">
    <pivotField showAll="0"/>
    <pivotField axis="axisRow" showAll="0">
      <items count="20">
        <item h="1" x="4"/>
        <item h="1" x="5"/>
        <item h="1" x="14"/>
        <item h="1" x="16"/>
        <item h="1" x="17"/>
        <item h="1" x="15"/>
        <item h="1" x="13"/>
        <item x="2"/>
        <item h="1" x="9"/>
        <item h="1" x="6"/>
        <item h="1" x="1"/>
        <item h="1" x="12"/>
        <item h="1" x="3"/>
        <item h="1" x="8"/>
        <item h="1" x="0"/>
        <item h="1" x="11"/>
        <item h="1" x="18"/>
        <item h="1" x="7"/>
        <item h="1" x="10"/>
        <item t="default"/>
      </items>
    </pivotField>
    <pivotField showAll="0"/>
    <pivotField showAll="0"/>
    <pivotField showAll="0"/>
    <pivotField dataField="1" showAll="0">
      <items count="21">
        <item x="0"/>
        <item x="1"/>
        <item x="6"/>
        <item x="5"/>
        <item x="12"/>
        <item x="18"/>
        <item x="7"/>
        <item x="11"/>
        <item x="15"/>
        <item x="4"/>
        <item x="9"/>
        <item x="2"/>
        <item x="16"/>
        <item x="8"/>
        <item x="13"/>
        <item x="17"/>
        <item x="10"/>
        <item x="19"/>
        <item x="3"/>
        <item x="14"/>
        <item t="default"/>
      </items>
    </pivotField>
    <pivotField numFmtId="1" showAll="0"/>
    <pivotField showAll="0"/>
    <pivotField showAll="0"/>
  </pivotFields>
  <rowFields count="1">
    <field x="1"/>
  </rowFields>
  <rowItems count="2">
    <i>
      <x v="7"/>
    </i>
    <i t="grand">
      <x/>
    </i>
  </rowItems>
  <colItems count="1">
    <i/>
  </colItems>
  <dataFields count="1">
    <dataField name="Sum of view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or_name" xr10:uid="{B1FC1CB2-1B5C-4292-9586-AF1BBF195946}" sourceName="Creator name">
  <pivotTables>
    <pivotTable tabId="8" name="PivotTable1"/>
  </pivotTables>
  <data>
    <tabular pivotCacheId="1988088487">
      <items count="19">
        <i x="4"/>
        <i x="5"/>
        <i x="14"/>
        <i x="16"/>
        <i x="17"/>
        <i x="15"/>
        <i x="13"/>
        <i x="2" s="1"/>
        <i x="9"/>
        <i x="6"/>
        <i x="1"/>
        <i x="12"/>
        <i x="3"/>
        <i x="8"/>
        <i x="0"/>
        <i x="11"/>
        <i x="18"/>
        <i x="7"/>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s" xr10:uid="{3A82A38E-9C4A-4842-A7AE-98E4FCE7899D}" sourceName="views">
  <pivotTables>
    <pivotTable tabId="8" name="PivotTable1"/>
  </pivotTables>
  <data>
    <tabular pivotCacheId="1988088487">
      <items count="20">
        <i x="2" s="1"/>
        <i x="0" s="1" nd="1"/>
        <i x="1" s="1" nd="1"/>
        <i x="6" s="1" nd="1"/>
        <i x="5" s="1" nd="1"/>
        <i x="12" s="1" nd="1"/>
        <i x="18" s="1" nd="1"/>
        <i x="7" s="1" nd="1"/>
        <i x="11" s="1" nd="1"/>
        <i x="15" s="1" nd="1"/>
        <i x="4" s="1" nd="1"/>
        <i x="9" s="1" nd="1"/>
        <i x="16" s="1" nd="1"/>
        <i x="8" s="1" nd="1"/>
        <i x="13" s="1" nd="1"/>
        <i x="17" s="1" nd="1"/>
        <i x="10" s="1" nd="1"/>
        <i x="19" s="1" nd="1"/>
        <i x="3"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ator name" xr10:uid="{A2D81E4D-EE99-4FF4-9345-BF658E378616}" cache="Slicer_Creator_name" caption="Creator name" startItem="4" rowHeight="241300"/>
  <slicer name="views" xr10:uid="{6D56B8F5-58D2-448D-88D1-A6D3A270543D}" cache="Slicer_views" caption="view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D211-B8E6-40EA-B916-D871188CC76B}">
  <dimension ref="A3:B31"/>
  <sheetViews>
    <sheetView workbookViewId="0">
      <selection activeCell="F33" sqref="F33"/>
    </sheetView>
  </sheetViews>
  <sheetFormatPr defaultRowHeight="14.5" x14ac:dyDescent="0.35"/>
  <cols>
    <col min="1" max="1" width="12.36328125" bestFit="1" customWidth="1"/>
    <col min="2" max="2" width="11.7265625" bestFit="1" customWidth="1"/>
    <col min="6" max="6" width="12.36328125" bestFit="1" customWidth="1"/>
    <col min="7" max="7" width="12.453125" bestFit="1" customWidth="1"/>
  </cols>
  <sheetData>
    <row r="3" spans="1:2" x14ac:dyDescent="0.35">
      <c r="A3" s="4" t="s">
        <v>170</v>
      </c>
      <c r="B3" t="s">
        <v>172</v>
      </c>
    </row>
    <row r="4" spans="1:2" x14ac:dyDescent="0.35">
      <c r="A4" s="5" t="s">
        <v>9</v>
      </c>
      <c r="B4">
        <v>1250000</v>
      </c>
    </row>
    <row r="5" spans="1:2" x14ac:dyDescent="0.35">
      <c r="A5" s="5" t="s">
        <v>171</v>
      </c>
      <c r="B5">
        <v>1250000</v>
      </c>
    </row>
    <row r="19" spans="1:2" x14ac:dyDescent="0.35">
      <c r="A19" s="4" t="s">
        <v>170</v>
      </c>
      <c r="B19" t="s">
        <v>173</v>
      </c>
    </row>
    <row r="20" spans="1:2" x14ac:dyDescent="0.35">
      <c r="A20" s="5" t="s">
        <v>150</v>
      </c>
      <c r="B20">
        <v>12000</v>
      </c>
    </row>
    <row r="21" spans="1:2" x14ac:dyDescent="0.35">
      <c r="A21" s="5" t="s">
        <v>157</v>
      </c>
      <c r="B21">
        <v>10000</v>
      </c>
    </row>
    <row r="22" spans="1:2" x14ac:dyDescent="0.35">
      <c r="A22" s="5" t="s">
        <v>155</v>
      </c>
      <c r="B22">
        <v>18000</v>
      </c>
    </row>
    <row r="23" spans="1:2" x14ac:dyDescent="0.35">
      <c r="A23" s="5" t="s">
        <v>153</v>
      </c>
      <c r="B23">
        <v>35000</v>
      </c>
    </row>
    <row r="24" spans="1:2" x14ac:dyDescent="0.35">
      <c r="A24" s="5" t="s">
        <v>158</v>
      </c>
      <c r="B24">
        <v>15000</v>
      </c>
    </row>
    <row r="25" spans="1:2" x14ac:dyDescent="0.35">
      <c r="A25" s="5" t="s">
        <v>156</v>
      </c>
      <c r="B25">
        <v>10000</v>
      </c>
    </row>
    <row r="26" spans="1:2" x14ac:dyDescent="0.35">
      <c r="A26" s="5" t="s">
        <v>154</v>
      </c>
      <c r="B26">
        <v>12000</v>
      </c>
    </row>
    <row r="27" spans="1:2" x14ac:dyDescent="0.35">
      <c r="A27" s="5" t="s">
        <v>159</v>
      </c>
      <c r="B27">
        <v>18000</v>
      </c>
    </row>
    <row r="28" spans="1:2" x14ac:dyDescent="0.35">
      <c r="A28" s="5" t="s">
        <v>152</v>
      </c>
      <c r="B28">
        <v>20000</v>
      </c>
    </row>
    <row r="29" spans="1:2" x14ac:dyDescent="0.35">
      <c r="A29" s="5" t="s">
        <v>151</v>
      </c>
      <c r="B29">
        <v>20000</v>
      </c>
    </row>
    <row r="30" spans="1:2" x14ac:dyDescent="0.35">
      <c r="A30" s="5" t="s">
        <v>160</v>
      </c>
      <c r="B30">
        <v>10000</v>
      </c>
    </row>
    <row r="31" spans="1:2" x14ac:dyDescent="0.35">
      <c r="A31" s="5" t="s">
        <v>171</v>
      </c>
      <c r="B31">
        <v>180000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A1C7-6000-485C-8DCC-3212BB413B54}">
  <dimension ref="A1:M71"/>
  <sheetViews>
    <sheetView tabSelected="1" topLeftCell="A22" workbookViewId="0">
      <selection activeCell="D28" sqref="D28"/>
    </sheetView>
  </sheetViews>
  <sheetFormatPr defaultRowHeight="14.5" x14ac:dyDescent="0.35"/>
  <cols>
    <col min="1" max="1" width="10.36328125" bestFit="1" customWidth="1"/>
    <col min="2" max="2" width="12.26953125" bestFit="1" customWidth="1"/>
    <col min="3" max="3" width="17.36328125" style="1" bestFit="1" customWidth="1"/>
    <col min="4" max="4" width="9" bestFit="1" customWidth="1"/>
    <col min="5" max="5" width="15.81640625" style="1" bestFit="1" customWidth="1"/>
    <col min="6" max="6" width="8.81640625" bestFit="1" customWidth="1"/>
    <col min="7" max="7" width="11.36328125" bestFit="1" customWidth="1"/>
    <col min="11" max="11" width="9.81640625" bestFit="1" customWidth="1"/>
    <col min="12" max="12" width="13.90625" bestFit="1" customWidth="1"/>
    <col min="13" max="13" width="15.26953125" bestFit="1" customWidth="1"/>
  </cols>
  <sheetData>
    <row r="1" spans="1:13" x14ac:dyDescent="0.35">
      <c r="A1" t="s">
        <v>0</v>
      </c>
      <c r="B1" t="s">
        <v>1</v>
      </c>
      <c r="C1" s="1" t="s">
        <v>5</v>
      </c>
      <c r="D1" t="s">
        <v>2</v>
      </c>
      <c r="E1" s="1" t="s">
        <v>3</v>
      </c>
      <c r="F1" t="s">
        <v>63</v>
      </c>
      <c r="G1" s="1" t="s">
        <v>176</v>
      </c>
      <c r="H1" t="s">
        <v>162</v>
      </c>
      <c r="I1" s="1" t="s">
        <v>168</v>
      </c>
      <c r="J1" s="1"/>
      <c r="K1" t="s">
        <v>169</v>
      </c>
    </row>
    <row r="2" spans="1:13" x14ac:dyDescent="0.35">
      <c r="A2">
        <v>1</v>
      </c>
      <c r="B2" t="s">
        <v>4</v>
      </c>
      <c r="C2" s="1" t="s">
        <v>6</v>
      </c>
      <c r="D2">
        <v>5000</v>
      </c>
      <c r="E2" s="1" t="s">
        <v>43</v>
      </c>
      <c r="F2">
        <v>48500</v>
      </c>
      <c r="G2" s="2">
        <v>405</v>
      </c>
      <c r="H2">
        <v>519</v>
      </c>
      <c r="I2" t="str">
        <f>IF(D2&gt;6000,"eligible","not")</f>
        <v>not</v>
      </c>
      <c r="K2">
        <f>SUMIFS(F:F,G:G,G3)</f>
        <v>103816509</v>
      </c>
    </row>
    <row r="3" spans="1:13" x14ac:dyDescent="0.35">
      <c r="A3">
        <v>2</v>
      </c>
      <c r="B3" t="s">
        <v>7</v>
      </c>
      <c r="C3" s="1" t="s">
        <v>8</v>
      </c>
      <c r="D3">
        <v>7000</v>
      </c>
      <c r="E3" s="1" t="s">
        <v>44</v>
      </c>
      <c r="F3">
        <v>132000</v>
      </c>
      <c r="G3" s="2">
        <v>401</v>
      </c>
      <c r="H3">
        <v>501</v>
      </c>
      <c r="I3" t="str">
        <f t="shared" ref="I3:I66" si="0">IF(D3&gt;6000,"eligible","not")</f>
        <v>eligible</v>
      </c>
    </row>
    <row r="4" spans="1:13" x14ac:dyDescent="0.35">
      <c r="A4">
        <v>3</v>
      </c>
      <c r="B4" t="s">
        <v>9</v>
      </c>
      <c r="C4" s="1" t="s">
        <v>10</v>
      </c>
      <c r="D4">
        <v>14000</v>
      </c>
      <c r="E4" s="1" t="s">
        <v>45</v>
      </c>
      <c r="F4">
        <v>1250000</v>
      </c>
      <c r="G4" s="2">
        <v>408</v>
      </c>
      <c r="H4">
        <v>510</v>
      </c>
      <c r="I4" t="str">
        <f t="shared" si="0"/>
        <v>eligible</v>
      </c>
    </row>
    <row r="5" spans="1:13" x14ac:dyDescent="0.35">
      <c r="A5">
        <v>4</v>
      </c>
      <c r="B5" t="s">
        <v>11</v>
      </c>
      <c r="C5" s="1" t="s">
        <v>12</v>
      </c>
      <c r="D5">
        <v>35000</v>
      </c>
      <c r="E5" s="1" t="s">
        <v>46</v>
      </c>
      <c r="F5">
        <v>8700000</v>
      </c>
      <c r="G5" s="2">
        <v>403</v>
      </c>
      <c r="H5">
        <v>505</v>
      </c>
      <c r="I5" t="str">
        <f t="shared" si="0"/>
        <v>eligible</v>
      </c>
    </row>
    <row r="6" spans="1:13" x14ac:dyDescent="0.35">
      <c r="A6">
        <v>5</v>
      </c>
      <c r="B6" t="s">
        <v>13</v>
      </c>
      <c r="C6" s="1" t="s">
        <v>14</v>
      </c>
      <c r="D6">
        <v>201000</v>
      </c>
      <c r="E6" s="1" t="s">
        <v>47</v>
      </c>
      <c r="F6">
        <v>945000</v>
      </c>
      <c r="G6" s="2">
        <v>400</v>
      </c>
      <c r="H6">
        <v>511</v>
      </c>
      <c r="I6" t="str">
        <f t="shared" si="0"/>
        <v>eligible</v>
      </c>
      <c r="L6" s="6" t="s">
        <v>165</v>
      </c>
      <c r="M6" s="6"/>
    </row>
    <row r="7" spans="1:13" x14ac:dyDescent="0.35">
      <c r="A7">
        <v>6</v>
      </c>
      <c r="B7" t="s">
        <v>15</v>
      </c>
      <c r="C7" s="1" t="s">
        <v>16</v>
      </c>
      <c r="D7">
        <v>83000</v>
      </c>
      <c r="E7" s="1" t="s">
        <v>48</v>
      </c>
      <c r="F7">
        <v>278000</v>
      </c>
      <c r="G7" s="2">
        <v>406</v>
      </c>
      <c r="H7">
        <v>516</v>
      </c>
      <c r="I7" t="str">
        <f t="shared" si="0"/>
        <v>eligible</v>
      </c>
      <c r="L7" s="3" t="s">
        <v>163</v>
      </c>
      <c r="M7" s="3" t="s">
        <v>164</v>
      </c>
    </row>
    <row r="8" spans="1:13" x14ac:dyDescent="0.35">
      <c r="A8">
        <v>7</v>
      </c>
      <c r="B8" t="s">
        <v>17</v>
      </c>
      <c r="C8" s="1" t="s">
        <v>18</v>
      </c>
      <c r="D8">
        <v>123000</v>
      </c>
      <c r="E8" s="1" t="s">
        <v>49</v>
      </c>
      <c r="F8">
        <v>156000</v>
      </c>
      <c r="G8" s="2">
        <v>402</v>
      </c>
      <c r="H8">
        <v>503</v>
      </c>
      <c r="I8" t="str">
        <f t="shared" si="0"/>
        <v>eligible</v>
      </c>
      <c r="L8" s="3">
        <v>2</v>
      </c>
      <c r="M8" s="3" t="str">
        <f>VLOOKUP(L8,A1:H21,3,FALSE)</f>
        <v>@mannatwaslive</v>
      </c>
    </row>
    <row r="9" spans="1:13" x14ac:dyDescent="0.35">
      <c r="A9">
        <v>8</v>
      </c>
      <c r="B9" t="s">
        <v>19</v>
      </c>
      <c r="C9" s="1" t="s">
        <v>20</v>
      </c>
      <c r="D9">
        <v>5000</v>
      </c>
      <c r="E9" s="1" t="s">
        <v>62</v>
      </c>
      <c r="F9">
        <v>684000</v>
      </c>
      <c r="G9" s="2">
        <v>409</v>
      </c>
      <c r="H9">
        <v>501</v>
      </c>
      <c r="I9" t="str">
        <f t="shared" si="0"/>
        <v>not</v>
      </c>
      <c r="L9" s="3">
        <v>3</v>
      </c>
      <c r="M9" s="3" t="str">
        <f>VLOOKUP(L9,A1:H21,3,FALSE)</f>
        <v>@kavvaie</v>
      </c>
    </row>
    <row r="10" spans="1:13" x14ac:dyDescent="0.35">
      <c r="A10">
        <v>9</v>
      </c>
      <c r="B10" t="s">
        <v>21</v>
      </c>
      <c r="C10" s="1" t="s">
        <v>22</v>
      </c>
      <c r="D10">
        <v>7000</v>
      </c>
      <c r="E10" s="1" t="s">
        <v>61</v>
      </c>
      <c r="F10">
        <v>2340000</v>
      </c>
      <c r="G10" s="2">
        <v>404</v>
      </c>
      <c r="H10">
        <v>509</v>
      </c>
      <c r="I10" t="str">
        <f t="shared" si="0"/>
        <v>eligible</v>
      </c>
    </row>
    <row r="11" spans="1:13" x14ac:dyDescent="0.35">
      <c r="A11">
        <v>10</v>
      </c>
      <c r="B11" t="s">
        <v>23</v>
      </c>
      <c r="C11" s="1" t="s">
        <v>24</v>
      </c>
      <c r="D11">
        <v>101000</v>
      </c>
      <c r="E11" s="1" t="s">
        <v>60</v>
      </c>
      <c r="F11">
        <v>1120000</v>
      </c>
      <c r="G11" s="2">
        <v>407</v>
      </c>
      <c r="H11">
        <v>514</v>
      </c>
      <c r="I11" t="str">
        <f t="shared" si="0"/>
        <v>eligible</v>
      </c>
      <c r="L11" s="7" t="s">
        <v>166</v>
      </c>
      <c r="M11" s="7"/>
    </row>
    <row r="12" spans="1:13" x14ac:dyDescent="0.35">
      <c r="A12">
        <v>11</v>
      </c>
      <c r="B12" t="s">
        <v>25</v>
      </c>
      <c r="C12" s="1" t="s">
        <v>26</v>
      </c>
      <c r="D12">
        <v>2460</v>
      </c>
      <c r="E12" s="1" t="s">
        <v>59</v>
      </c>
      <c r="F12">
        <v>5800000</v>
      </c>
      <c r="G12" s="2">
        <v>401</v>
      </c>
      <c r="H12">
        <v>505</v>
      </c>
      <c r="I12" t="str">
        <f t="shared" si="0"/>
        <v>not</v>
      </c>
      <c r="L12" s="3" t="s">
        <v>1</v>
      </c>
      <c r="M12" s="3" t="str">
        <f>HLOOKUP(L12,A1:H21,16,FALSE)</f>
        <v>pragya</v>
      </c>
    </row>
    <row r="13" spans="1:13" x14ac:dyDescent="0.35">
      <c r="A13">
        <v>12</v>
      </c>
      <c r="B13" t="s">
        <v>27</v>
      </c>
      <c r="C13" s="1" t="s">
        <v>28</v>
      </c>
      <c r="D13">
        <v>10000</v>
      </c>
      <c r="E13" s="1" t="s">
        <v>58</v>
      </c>
      <c r="F13">
        <v>792000</v>
      </c>
      <c r="G13" s="2">
        <v>405</v>
      </c>
      <c r="H13">
        <v>519</v>
      </c>
      <c r="I13" t="str">
        <f t="shared" si="0"/>
        <v>eligible</v>
      </c>
      <c r="L13" s="3" t="s">
        <v>63</v>
      </c>
      <c r="M13" s="3">
        <f>HLOOKUP(F1,A1:H21,16,FALSE)</f>
        <v>12400000</v>
      </c>
    </row>
    <row r="14" spans="1:13" x14ac:dyDescent="0.35">
      <c r="A14">
        <v>13</v>
      </c>
      <c r="B14" t="s">
        <v>29</v>
      </c>
      <c r="C14" s="1" t="s">
        <v>30</v>
      </c>
      <c r="D14">
        <v>32000</v>
      </c>
      <c r="E14" s="1" t="s">
        <v>57</v>
      </c>
      <c r="F14">
        <v>365000</v>
      </c>
      <c r="G14" s="2">
        <v>403</v>
      </c>
      <c r="H14">
        <v>507</v>
      </c>
      <c r="I14" t="str">
        <f t="shared" si="0"/>
        <v>eligible</v>
      </c>
      <c r="L14" s="3" t="s">
        <v>167</v>
      </c>
      <c r="M14" s="3" t="str">
        <f>HLOOKUP(E1,A1:H23,16,FALSE)</f>
        <v>@arshigamer</v>
      </c>
    </row>
    <row r="15" spans="1:13" x14ac:dyDescent="0.35">
      <c r="A15">
        <v>14</v>
      </c>
      <c r="B15" t="s">
        <v>31</v>
      </c>
      <c r="C15" s="1" t="s">
        <v>32</v>
      </c>
      <c r="D15">
        <v>5000</v>
      </c>
      <c r="E15" s="1" t="s">
        <v>56</v>
      </c>
      <c r="F15">
        <v>3150000</v>
      </c>
      <c r="G15" s="2">
        <v>408</v>
      </c>
      <c r="H15">
        <v>504</v>
      </c>
      <c r="I15" t="str">
        <f t="shared" si="0"/>
        <v>not</v>
      </c>
    </row>
    <row r="16" spans="1:13" x14ac:dyDescent="0.35">
      <c r="A16">
        <v>15</v>
      </c>
      <c r="B16" t="s">
        <v>21</v>
      </c>
      <c r="C16" s="1" t="s">
        <v>22</v>
      </c>
      <c r="D16">
        <v>6500</v>
      </c>
      <c r="E16" s="1" t="s">
        <v>55</v>
      </c>
      <c r="F16">
        <v>12400000</v>
      </c>
      <c r="G16" s="2">
        <v>400</v>
      </c>
      <c r="H16">
        <v>501</v>
      </c>
      <c r="I16" t="str">
        <f t="shared" si="0"/>
        <v>eligible</v>
      </c>
    </row>
    <row r="17" spans="1:9" x14ac:dyDescent="0.35">
      <c r="A17">
        <v>16</v>
      </c>
      <c r="B17" t="s">
        <v>33</v>
      </c>
      <c r="C17" s="1" t="s">
        <v>34</v>
      </c>
      <c r="D17">
        <v>605900</v>
      </c>
      <c r="E17" s="1" t="s">
        <v>54</v>
      </c>
      <c r="F17">
        <v>875000</v>
      </c>
      <c r="G17" s="2">
        <v>406</v>
      </c>
      <c r="H17">
        <v>504</v>
      </c>
      <c r="I17" t="str">
        <f t="shared" si="0"/>
        <v>eligible</v>
      </c>
    </row>
    <row r="18" spans="1:9" x14ac:dyDescent="0.35">
      <c r="A18">
        <v>17</v>
      </c>
      <c r="B18" t="s">
        <v>35</v>
      </c>
      <c r="C18" s="1" t="s">
        <v>36</v>
      </c>
      <c r="D18">
        <v>998000</v>
      </c>
      <c r="E18" s="1" t="s">
        <v>53</v>
      </c>
      <c r="F18">
        <v>1460000</v>
      </c>
      <c r="G18" s="2">
        <v>402</v>
      </c>
      <c r="H18">
        <v>517</v>
      </c>
      <c r="I18" t="str">
        <f t="shared" si="0"/>
        <v>eligible</v>
      </c>
    </row>
    <row r="19" spans="1:9" x14ac:dyDescent="0.35">
      <c r="A19">
        <v>18</v>
      </c>
      <c r="B19" t="s">
        <v>37</v>
      </c>
      <c r="C19" s="1" t="s">
        <v>38</v>
      </c>
      <c r="D19">
        <v>3000</v>
      </c>
      <c r="E19" s="1" t="s">
        <v>52</v>
      </c>
      <c r="F19">
        <v>4920000</v>
      </c>
      <c r="G19" s="2">
        <v>409</v>
      </c>
      <c r="H19">
        <v>512</v>
      </c>
      <c r="I19" t="str">
        <f t="shared" si="0"/>
        <v>not</v>
      </c>
    </row>
    <row r="20" spans="1:9" x14ac:dyDescent="0.35">
      <c r="A20">
        <v>19</v>
      </c>
      <c r="B20" t="s">
        <v>39</v>
      </c>
      <c r="C20" s="1" t="s">
        <v>40</v>
      </c>
      <c r="D20">
        <v>6000</v>
      </c>
      <c r="E20" s="1" t="s">
        <v>51</v>
      </c>
      <c r="F20">
        <v>610000</v>
      </c>
      <c r="G20" s="2">
        <v>404</v>
      </c>
      <c r="H20">
        <v>502</v>
      </c>
      <c r="I20" t="str">
        <f t="shared" si="0"/>
        <v>not</v>
      </c>
    </row>
    <row r="21" spans="1:9" x14ac:dyDescent="0.35">
      <c r="A21">
        <v>20</v>
      </c>
      <c r="B21" t="s">
        <v>41</v>
      </c>
      <c r="C21" s="1" t="s">
        <v>42</v>
      </c>
      <c r="D21">
        <v>100000</v>
      </c>
      <c r="E21" s="1" t="s">
        <v>50</v>
      </c>
      <c r="F21">
        <v>7300000</v>
      </c>
      <c r="G21" s="2">
        <v>407</v>
      </c>
      <c r="H21">
        <v>508</v>
      </c>
      <c r="I21" t="str">
        <f t="shared" si="0"/>
        <v>eligible</v>
      </c>
    </row>
    <row r="22" spans="1:9" x14ac:dyDescent="0.35">
      <c r="A22" s="8">
        <v>21</v>
      </c>
      <c r="B22" s="8" t="s">
        <v>177</v>
      </c>
      <c r="C22" s="8" t="s">
        <v>178</v>
      </c>
      <c r="D22" s="8">
        <v>412450</v>
      </c>
      <c r="E22" s="8" t="s">
        <v>179</v>
      </c>
      <c r="F22" s="8">
        <v>26649376</v>
      </c>
      <c r="G22" s="8">
        <v>405</v>
      </c>
      <c r="H22">
        <v>543</v>
      </c>
      <c r="I22" t="str">
        <f>IF(D22&gt;6000,"eligible","not")</f>
        <v>eligible</v>
      </c>
    </row>
    <row r="23" spans="1:9" x14ac:dyDescent="0.35">
      <c r="A23" s="8">
        <v>22</v>
      </c>
      <c r="B23" s="8" t="s">
        <v>180</v>
      </c>
      <c r="C23" s="8" t="s">
        <v>181</v>
      </c>
      <c r="D23" s="8">
        <v>680929</v>
      </c>
      <c r="E23" s="8" t="s">
        <v>182</v>
      </c>
      <c r="F23" s="8">
        <v>9479733</v>
      </c>
      <c r="G23" s="8">
        <v>400</v>
      </c>
      <c r="H23">
        <v>521</v>
      </c>
      <c r="I23" t="str">
        <f t="shared" si="0"/>
        <v>eligible</v>
      </c>
    </row>
    <row r="24" spans="1:9" x14ac:dyDescent="0.35">
      <c r="A24" s="8">
        <v>23</v>
      </c>
      <c r="B24" s="8" t="s">
        <v>183</v>
      </c>
      <c r="C24" s="8" t="s">
        <v>184</v>
      </c>
      <c r="D24" s="8">
        <v>778127</v>
      </c>
      <c r="E24" s="8" t="s">
        <v>185</v>
      </c>
      <c r="F24" s="8">
        <v>7043801</v>
      </c>
      <c r="G24" s="8">
        <v>401</v>
      </c>
      <c r="H24">
        <v>556</v>
      </c>
      <c r="I24" t="str">
        <f>IF(D24&gt;6000,"eligible","not")</f>
        <v>eligible</v>
      </c>
    </row>
    <row r="25" spans="1:9" x14ac:dyDescent="0.35">
      <c r="A25" s="8">
        <v>24</v>
      </c>
      <c r="B25" s="8" t="s">
        <v>186</v>
      </c>
      <c r="C25" s="8" t="s">
        <v>187</v>
      </c>
      <c r="D25" s="8">
        <v>48267</v>
      </c>
      <c r="E25" s="8" t="s">
        <v>188</v>
      </c>
      <c r="F25" s="8">
        <v>38770216</v>
      </c>
      <c r="G25" s="8">
        <v>408</v>
      </c>
      <c r="H25">
        <v>534</v>
      </c>
      <c r="I25" t="str">
        <f t="shared" si="0"/>
        <v>eligible</v>
      </c>
    </row>
    <row r="26" spans="1:9" x14ac:dyDescent="0.35">
      <c r="A26" s="8">
        <v>25</v>
      </c>
      <c r="B26" s="8" t="s">
        <v>189</v>
      </c>
      <c r="C26" s="8" t="s">
        <v>190</v>
      </c>
      <c r="D26" s="8">
        <v>902300</v>
      </c>
      <c r="E26" s="8" t="s">
        <v>191</v>
      </c>
      <c r="F26" s="8">
        <v>27941700</v>
      </c>
      <c r="G26" s="8">
        <v>403</v>
      </c>
      <c r="H26">
        <v>567</v>
      </c>
      <c r="I26" t="str">
        <f t="shared" si="0"/>
        <v>eligible</v>
      </c>
    </row>
    <row r="27" spans="1:9" x14ac:dyDescent="0.35">
      <c r="A27" s="8">
        <v>26</v>
      </c>
      <c r="B27" s="8" t="s">
        <v>192</v>
      </c>
      <c r="C27" s="8" t="s">
        <v>193</v>
      </c>
      <c r="D27" s="8">
        <v>267686</v>
      </c>
      <c r="E27" s="8" t="s">
        <v>194</v>
      </c>
      <c r="F27" s="8">
        <v>41609441</v>
      </c>
      <c r="G27" s="8">
        <v>407</v>
      </c>
      <c r="H27">
        <v>528</v>
      </c>
      <c r="I27" t="str">
        <f t="shared" si="0"/>
        <v>eligible</v>
      </c>
    </row>
    <row r="28" spans="1:9" x14ac:dyDescent="0.35">
      <c r="A28" s="8">
        <v>27</v>
      </c>
      <c r="B28" s="8" t="s">
        <v>195</v>
      </c>
      <c r="C28" s="8" t="s">
        <v>196</v>
      </c>
      <c r="D28" s="8">
        <v>79562</v>
      </c>
      <c r="E28" s="8" t="s">
        <v>197</v>
      </c>
      <c r="F28" s="8">
        <v>17039736</v>
      </c>
      <c r="G28" s="8">
        <v>406</v>
      </c>
      <c r="H28">
        <v>549</v>
      </c>
      <c r="I28" t="str">
        <f t="shared" si="0"/>
        <v>eligible</v>
      </c>
    </row>
    <row r="29" spans="1:9" x14ac:dyDescent="0.35">
      <c r="A29" s="8">
        <v>28</v>
      </c>
      <c r="B29" s="8" t="s">
        <v>198</v>
      </c>
      <c r="C29" s="8" t="s">
        <v>199</v>
      </c>
      <c r="D29" s="8">
        <v>859415</v>
      </c>
      <c r="E29" s="8" t="s">
        <v>200</v>
      </c>
      <c r="F29" s="8">
        <v>33047977</v>
      </c>
      <c r="G29" s="8">
        <v>402</v>
      </c>
      <c r="H29">
        <v>562</v>
      </c>
      <c r="I29" t="str">
        <f t="shared" si="0"/>
        <v>eligible</v>
      </c>
    </row>
    <row r="30" spans="1:9" x14ac:dyDescent="0.35">
      <c r="A30" s="8">
        <v>29</v>
      </c>
      <c r="B30" s="8" t="s">
        <v>201</v>
      </c>
      <c r="C30" s="8" t="s">
        <v>202</v>
      </c>
      <c r="D30" s="8">
        <v>137762</v>
      </c>
      <c r="E30" s="8" t="s">
        <v>203</v>
      </c>
      <c r="F30" s="8">
        <v>34166289</v>
      </c>
      <c r="G30" s="8">
        <v>409</v>
      </c>
      <c r="H30">
        <v>525</v>
      </c>
      <c r="I30" t="str">
        <f t="shared" si="0"/>
        <v>eligible</v>
      </c>
    </row>
    <row r="31" spans="1:9" x14ac:dyDescent="0.35">
      <c r="A31" s="8">
        <v>30</v>
      </c>
      <c r="B31" s="8" t="s">
        <v>204</v>
      </c>
      <c r="C31" s="8" t="s">
        <v>205</v>
      </c>
      <c r="D31" s="8">
        <v>908639</v>
      </c>
      <c r="E31" s="8" t="s">
        <v>206</v>
      </c>
      <c r="F31" s="8">
        <v>207574</v>
      </c>
      <c r="G31" s="8">
        <v>404</v>
      </c>
      <c r="H31">
        <v>551</v>
      </c>
      <c r="I31" t="str">
        <f t="shared" si="0"/>
        <v>eligible</v>
      </c>
    </row>
    <row r="32" spans="1:9" x14ac:dyDescent="0.35">
      <c r="A32" s="8">
        <v>31</v>
      </c>
      <c r="B32" s="8" t="s">
        <v>207</v>
      </c>
      <c r="C32" s="8" t="s">
        <v>208</v>
      </c>
      <c r="D32" s="8">
        <v>588556</v>
      </c>
      <c r="E32" s="8" t="s">
        <v>209</v>
      </c>
      <c r="F32" s="8">
        <v>12731822</v>
      </c>
      <c r="G32" s="8">
        <v>401</v>
      </c>
      <c r="H32">
        <v>539</v>
      </c>
      <c r="I32" t="str">
        <f t="shared" si="0"/>
        <v>eligible</v>
      </c>
    </row>
    <row r="33" spans="1:9" x14ac:dyDescent="0.35">
      <c r="A33" s="8">
        <v>32</v>
      </c>
      <c r="B33" s="8" t="s">
        <v>210</v>
      </c>
      <c r="C33" s="8" t="s">
        <v>211</v>
      </c>
      <c r="D33" s="8">
        <v>778099</v>
      </c>
      <c r="E33" s="8" t="s">
        <v>212</v>
      </c>
      <c r="F33" s="8">
        <v>37881032</v>
      </c>
      <c r="G33" s="8">
        <v>405</v>
      </c>
      <c r="H33">
        <v>565</v>
      </c>
      <c r="I33" t="str">
        <f t="shared" si="0"/>
        <v>eligible</v>
      </c>
    </row>
    <row r="34" spans="1:9" x14ac:dyDescent="0.35">
      <c r="A34" s="8">
        <v>33</v>
      </c>
      <c r="B34" s="8" t="s">
        <v>213</v>
      </c>
      <c r="C34" s="8" t="s">
        <v>214</v>
      </c>
      <c r="D34" s="8">
        <v>624716</v>
      </c>
      <c r="E34" s="8" t="s">
        <v>215</v>
      </c>
      <c r="F34" s="8">
        <v>19828334</v>
      </c>
      <c r="G34" s="8">
        <v>408</v>
      </c>
      <c r="H34">
        <v>530</v>
      </c>
      <c r="I34" t="str">
        <f t="shared" si="0"/>
        <v>eligible</v>
      </c>
    </row>
    <row r="35" spans="1:9" x14ac:dyDescent="0.35">
      <c r="A35" s="8">
        <v>34</v>
      </c>
      <c r="B35" s="8" t="s">
        <v>216</v>
      </c>
      <c r="C35" s="8" t="s">
        <v>217</v>
      </c>
      <c r="D35" s="8">
        <v>736532</v>
      </c>
      <c r="E35" s="8" t="s">
        <v>218</v>
      </c>
      <c r="F35" s="8">
        <v>27608507</v>
      </c>
      <c r="G35" s="8">
        <v>400</v>
      </c>
      <c r="H35">
        <v>547</v>
      </c>
      <c r="I35" t="str">
        <f t="shared" si="0"/>
        <v>eligible</v>
      </c>
    </row>
    <row r="36" spans="1:9" x14ac:dyDescent="0.35">
      <c r="A36" s="8">
        <v>35</v>
      </c>
      <c r="B36" s="8" t="s">
        <v>219</v>
      </c>
      <c r="C36" s="8" t="s">
        <v>220</v>
      </c>
      <c r="D36" s="8">
        <v>560738</v>
      </c>
      <c r="E36" s="8" t="s">
        <v>221</v>
      </c>
      <c r="F36" s="8">
        <v>32153204</v>
      </c>
      <c r="G36" s="8">
        <v>406</v>
      </c>
      <c r="H36">
        <v>558</v>
      </c>
      <c r="I36" t="str">
        <f t="shared" si="0"/>
        <v>eligible</v>
      </c>
    </row>
    <row r="37" spans="1:9" x14ac:dyDescent="0.35">
      <c r="A37" s="8">
        <v>36</v>
      </c>
      <c r="B37" s="8" t="s">
        <v>222</v>
      </c>
      <c r="C37" s="8" t="s">
        <v>223</v>
      </c>
      <c r="D37" s="8">
        <v>104962</v>
      </c>
      <c r="E37" s="8" t="s">
        <v>224</v>
      </c>
      <c r="F37" s="8">
        <v>13681491</v>
      </c>
      <c r="G37" s="8">
        <v>403</v>
      </c>
      <c r="H37">
        <v>522</v>
      </c>
      <c r="I37" t="str">
        <f t="shared" si="0"/>
        <v>eligible</v>
      </c>
    </row>
    <row r="38" spans="1:9" x14ac:dyDescent="0.35">
      <c r="A38" s="8">
        <v>37</v>
      </c>
      <c r="B38" s="8" t="s">
        <v>225</v>
      </c>
      <c r="C38" s="8" t="s">
        <v>226</v>
      </c>
      <c r="D38" s="8">
        <v>436841</v>
      </c>
      <c r="E38" s="8" t="s">
        <v>227</v>
      </c>
      <c r="F38" s="8">
        <v>44477087</v>
      </c>
      <c r="G38" s="8">
        <v>407</v>
      </c>
      <c r="H38">
        <v>544</v>
      </c>
      <c r="I38" t="str">
        <f t="shared" si="0"/>
        <v>eligible</v>
      </c>
    </row>
    <row r="39" spans="1:9" x14ac:dyDescent="0.35">
      <c r="A39" s="8">
        <v>38</v>
      </c>
      <c r="B39" s="8" t="s">
        <v>228</v>
      </c>
      <c r="C39" s="8" t="s">
        <v>229</v>
      </c>
      <c r="D39" s="8">
        <v>884918</v>
      </c>
      <c r="E39" s="8" t="s">
        <v>230</v>
      </c>
      <c r="F39" s="8">
        <v>1445426</v>
      </c>
      <c r="G39" s="8">
        <v>402</v>
      </c>
      <c r="H39">
        <v>569</v>
      </c>
      <c r="I39" t="str">
        <f t="shared" si="0"/>
        <v>eligible</v>
      </c>
    </row>
    <row r="40" spans="1:9" x14ac:dyDescent="0.35">
      <c r="A40" s="8">
        <v>39</v>
      </c>
      <c r="B40" s="8" t="s">
        <v>231</v>
      </c>
      <c r="C40" s="8" t="s">
        <v>232</v>
      </c>
      <c r="D40" s="8">
        <v>127839</v>
      </c>
      <c r="E40" s="8" t="s">
        <v>233</v>
      </c>
      <c r="F40" s="8">
        <v>47555219</v>
      </c>
      <c r="G40" s="8">
        <v>404</v>
      </c>
      <c r="H40">
        <v>537</v>
      </c>
      <c r="I40" t="str">
        <f t="shared" si="0"/>
        <v>eligible</v>
      </c>
    </row>
    <row r="41" spans="1:9" x14ac:dyDescent="0.35">
      <c r="A41" s="8">
        <v>40</v>
      </c>
      <c r="B41" s="8" t="s">
        <v>234</v>
      </c>
      <c r="C41" s="8" t="s">
        <v>235</v>
      </c>
      <c r="D41" s="8">
        <v>376170</v>
      </c>
      <c r="E41" s="8" t="s">
        <v>236</v>
      </c>
      <c r="F41" s="8">
        <v>14459054</v>
      </c>
      <c r="G41" s="8">
        <v>409</v>
      </c>
      <c r="H41">
        <v>553</v>
      </c>
      <c r="I41" t="str">
        <f>IF(D41&gt;6000,"eligible","not")</f>
        <v>eligible</v>
      </c>
    </row>
    <row r="42" spans="1:9" x14ac:dyDescent="0.35">
      <c r="A42" s="8">
        <v>41</v>
      </c>
      <c r="B42" s="8" t="s">
        <v>237</v>
      </c>
      <c r="C42" s="8" t="s">
        <v>238</v>
      </c>
      <c r="D42" s="8">
        <v>316625</v>
      </c>
      <c r="E42" s="8" t="s">
        <v>239</v>
      </c>
      <c r="F42" s="8">
        <v>28072383</v>
      </c>
      <c r="G42" s="8">
        <v>405</v>
      </c>
      <c r="H42">
        <v>526</v>
      </c>
      <c r="I42" t="str">
        <f t="shared" si="0"/>
        <v>eligible</v>
      </c>
    </row>
    <row r="43" spans="1:9" x14ac:dyDescent="0.35">
      <c r="A43" s="8">
        <v>42</v>
      </c>
      <c r="B43" s="8" t="s">
        <v>240</v>
      </c>
      <c r="C43" s="8" t="s">
        <v>241</v>
      </c>
      <c r="D43" s="8">
        <v>192933</v>
      </c>
      <c r="E43" s="8" t="s">
        <v>242</v>
      </c>
      <c r="F43" s="8">
        <v>1349081</v>
      </c>
      <c r="G43" s="8">
        <v>401</v>
      </c>
      <c r="H43">
        <v>560</v>
      </c>
      <c r="I43" t="str">
        <f t="shared" si="0"/>
        <v>eligible</v>
      </c>
    </row>
    <row r="44" spans="1:9" x14ac:dyDescent="0.35">
      <c r="A44" s="8">
        <v>43</v>
      </c>
      <c r="B44" s="8" t="s">
        <v>243</v>
      </c>
      <c r="C44" s="8" t="s">
        <v>244</v>
      </c>
      <c r="D44" s="8">
        <v>59854</v>
      </c>
      <c r="E44" s="8" t="s">
        <v>245</v>
      </c>
      <c r="F44" s="8">
        <v>7367678</v>
      </c>
      <c r="G44" s="8">
        <v>406</v>
      </c>
      <c r="H44">
        <v>541</v>
      </c>
      <c r="I44" t="str">
        <f t="shared" si="0"/>
        <v>eligible</v>
      </c>
    </row>
    <row r="45" spans="1:9" x14ac:dyDescent="0.35">
      <c r="A45" s="8">
        <v>44</v>
      </c>
      <c r="B45" s="8" t="s">
        <v>246</v>
      </c>
      <c r="C45" s="8" t="s">
        <v>247</v>
      </c>
      <c r="D45" s="8">
        <v>897652</v>
      </c>
      <c r="E45" s="8" t="s">
        <v>248</v>
      </c>
      <c r="F45" s="8">
        <v>21171217</v>
      </c>
      <c r="G45" s="8">
        <v>408</v>
      </c>
      <c r="H45">
        <v>532</v>
      </c>
      <c r="I45" t="str">
        <f t="shared" si="0"/>
        <v>eligible</v>
      </c>
    </row>
    <row r="46" spans="1:9" x14ac:dyDescent="0.35">
      <c r="A46" s="8">
        <v>45</v>
      </c>
      <c r="B46" s="8" t="s">
        <v>249</v>
      </c>
      <c r="C46" s="8" t="s">
        <v>250</v>
      </c>
      <c r="D46" s="8">
        <v>6000</v>
      </c>
      <c r="E46" s="8" t="s">
        <v>251</v>
      </c>
      <c r="F46" s="8">
        <v>20728814</v>
      </c>
      <c r="G46" s="8">
        <v>400</v>
      </c>
      <c r="H46">
        <v>555</v>
      </c>
      <c r="I46" t="str">
        <f t="shared" si="0"/>
        <v>not</v>
      </c>
    </row>
    <row r="47" spans="1:9" x14ac:dyDescent="0.35">
      <c r="A47" s="8">
        <v>46</v>
      </c>
      <c r="B47" s="8" t="s">
        <v>252</v>
      </c>
      <c r="C47" s="8" t="s">
        <v>253</v>
      </c>
      <c r="D47" s="8">
        <v>130511</v>
      </c>
      <c r="E47" s="8" t="s">
        <v>254</v>
      </c>
      <c r="F47" s="8">
        <v>39417469</v>
      </c>
      <c r="G47" s="8">
        <v>403</v>
      </c>
      <c r="H47">
        <v>524</v>
      </c>
      <c r="I47" t="str">
        <f t="shared" si="0"/>
        <v>eligible</v>
      </c>
    </row>
    <row r="48" spans="1:9" x14ac:dyDescent="0.35">
      <c r="A48" s="8">
        <v>47</v>
      </c>
      <c r="B48" s="8" t="s">
        <v>255</v>
      </c>
      <c r="C48" s="8" t="s">
        <v>256</v>
      </c>
      <c r="D48" s="8">
        <v>246161</v>
      </c>
      <c r="E48" s="8" t="s">
        <v>257</v>
      </c>
      <c r="F48" s="8">
        <v>48513357</v>
      </c>
      <c r="G48" s="8">
        <v>407</v>
      </c>
      <c r="H48">
        <v>546</v>
      </c>
      <c r="I48" t="str">
        <f t="shared" si="0"/>
        <v>eligible</v>
      </c>
    </row>
    <row r="49" spans="1:9" x14ac:dyDescent="0.35">
      <c r="A49" s="8">
        <v>48</v>
      </c>
      <c r="B49" s="8" t="s">
        <v>258</v>
      </c>
      <c r="C49" s="8" t="s">
        <v>259</v>
      </c>
      <c r="D49" s="8">
        <v>108650</v>
      </c>
      <c r="E49" s="8" t="s">
        <v>260</v>
      </c>
      <c r="F49" s="8">
        <v>12657217</v>
      </c>
      <c r="G49" s="8">
        <v>402</v>
      </c>
      <c r="H49">
        <v>563</v>
      </c>
      <c r="I49" t="str">
        <f t="shared" si="0"/>
        <v>eligible</v>
      </c>
    </row>
    <row r="50" spans="1:9" x14ac:dyDescent="0.35">
      <c r="A50" s="8">
        <v>49</v>
      </c>
      <c r="B50" s="8" t="s">
        <v>261</v>
      </c>
      <c r="C50" s="8" t="s">
        <v>262</v>
      </c>
      <c r="D50" s="8">
        <v>716041</v>
      </c>
      <c r="E50" s="8" t="s">
        <v>263</v>
      </c>
      <c r="F50" s="8">
        <v>48494324</v>
      </c>
      <c r="G50" s="8">
        <v>404</v>
      </c>
      <c r="H50">
        <v>529</v>
      </c>
      <c r="I50" t="str">
        <f t="shared" si="0"/>
        <v>eligible</v>
      </c>
    </row>
    <row r="51" spans="1:9" x14ac:dyDescent="0.35">
      <c r="A51" s="8">
        <v>50</v>
      </c>
      <c r="B51" s="8" t="s">
        <v>264</v>
      </c>
      <c r="C51" s="8" t="s">
        <v>265</v>
      </c>
      <c r="D51" s="8">
        <v>867751</v>
      </c>
      <c r="E51" s="8" t="s">
        <v>266</v>
      </c>
      <c r="F51" s="8">
        <v>33143728</v>
      </c>
      <c r="G51" s="8">
        <v>409</v>
      </c>
      <c r="H51">
        <v>550</v>
      </c>
      <c r="I51" t="str">
        <f t="shared" si="0"/>
        <v>eligible</v>
      </c>
    </row>
    <row r="52" spans="1:9" x14ac:dyDescent="0.35">
      <c r="A52" s="8">
        <v>51</v>
      </c>
      <c r="B52" s="8" t="s">
        <v>267</v>
      </c>
      <c r="C52" s="8" t="s">
        <v>268</v>
      </c>
      <c r="D52" s="8">
        <v>749321</v>
      </c>
      <c r="E52" s="8" t="s">
        <v>269</v>
      </c>
      <c r="F52" s="8">
        <v>7226126</v>
      </c>
      <c r="G52" s="8">
        <v>405</v>
      </c>
      <c r="H52">
        <v>538</v>
      </c>
      <c r="I52" t="str">
        <f t="shared" si="0"/>
        <v>eligible</v>
      </c>
    </row>
    <row r="53" spans="1:9" x14ac:dyDescent="0.35">
      <c r="A53" s="8">
        <v>52</v>
      </c>
      <c r="B53" s="8" t="s">
        <v>270</v>
      </c>
      <c r="C53" s="8" t="s">
        <v>271</v>
      </c>
      <c r="D53" s="8">
        <v>354949</v>
      </c>
      <c r="E53" s="8" t="s">
        <v>272</v>
      </c>
      <c r="F53" s="8">
        <v>29528104</v>
      </c>
      <c r="G53" s="8">
        <v>401</v>
      </c>
      <c r="H53">
        <v>566</v>
      </c>
      <c r="I53" t="str">
        <f t="shared" si="0"/>
        <v>eligible</v>
      </c>
    </row>
    <row r="54" spans="1:9" x14ac:dyDescent="0.35">
      <c r="A54" s="8">
        <v>53</v>
      </c>
      <c r="B54" s="8" t="s">
        <v>273</v>
      </c>
      <c r="C54" s="8" t="s">
        <v>274</v>
      </c>
      <c r="D54" s="8">
        <v>559139</v>
      </c>
      <c r="E54" s="8" t="s">
        <v>275</v>
      </c>
      <c r="F54" s="8">
        <v>37850021</v>
      </c>
      <c r="G54" s="8">
        <v>408</v>
      </c>
      <c r="H54">
        <v>523</v>
      </c>
      <c r="I54" t="str">
        <f t="shared" si="0"/>
        <v>eligible</v>
      </c>
    </row>
    <row r="55" spans="1:9" x14ac:dyDescent="0.35">
      <c r="A55" s="8">
        <v>54</v>
      </c>
      <c r="B55" s="8" t="s">
        <v>276</v>
      </c>
      <c r="C55" s="8" t="s">
        <v>277</v>
      </c>
      <c r="D55" s="8">
        <v>498913</v>
      </c>
      <c r="E55" s="8" t="s">
        <v>278</v>
      </c>
      <c r="F55" s="8">
        <v>18640506</v>
      </c>
      <c r="G55" s="8">
        <v>403</v>
      </c>
      <c r="H55">
        <v>545</v>
      </c>
      <c r="I55" t="str">
        <f t="shared" si="0"/>
        <v>eligible</v>
      </c>
    </row>
    <row r="56" spans="1:9" x14ac:dyDescent="0.35">
      <c r="A56" s="8">
        <v>55</v>
      </c>
      <c r="B56" s="8" t="s">
        <v>279</v>
      </c>
      <c r="C56" s="8" t="s">
        <v>280</v>
      </c>
      <c r="D56" s="8">
        <v>819054</v>
      </c>
      <c r="E56" s="8" t="s">
        <v>281</v>
      </c>
      <c r="F56" s="8">
        <v>2381890</v>
      </c>
      <c r="G56" s="8">
        <v>400</v>
      </c>
      <c r="H56">
        <v>559</v>
      </c>
      <c r="I56" t="str">
        <f t="shared" si="0"/>
        <v>eligible</v>
      </c>
    </row>
    <row r="57" spans="1:9" x14ac:dyDescent="0.35">
      <c r="A57" s="8">
        <v>56</v>
      </c>
      <c r="B57" s="8" t="s">
        <v>282</v>
      </c>
      <c r="C57" s="8" t="s">
        <v>283</v>
      </c>
      <c r="D57" s="8">
        <v>912900</v>
      </c>
      <c r="E57" s="8" t="s">
        <v>284</v>
      </c>
      <c r="F57" s="8">
        <v>42420431</v>
      </c>
      <c r="G57" s="8">
        <v>406</v>
      </c>
      <c r="H57">
        <v>531</v>
      </c>
      <c r="I57" t="str">
        <f t="shared" si="0"/>
        <v>eligible</v>
      </c>
    </row>
    <row r="58" spans="1:9" x14ac:dyDescent="0.35">
      <c r="A58" s="8">
        <v>57</v>
      </c>
      <c r="B58" s="8" t="s">
        <v>285</v>
      </c>
      <c r="C58" s="8" t="s">
        <v>286</v>
      </c>
      <c r="D58" s="8">
        <v>454507</v>
      </c>
      <c r="E58" s="8" t="s">
        <v>287</v>
      </c>
      <c r="F58" s="8">
        <v>14191009</v>
      </c>
      <c r="G58" s="8">
        <v>402</v>
      </c>
      <c r="H58">
        <v>552</v>
      </c>
      <c r="I58" t="str">
        <f t="shared" si="0"/>
        <v>eligible</v>
      </c>
    </row>
    <row r="59" spans="1:9" x14ac:dyDescent="0.35">
      <c r="A59" s="8">
        <v>58</v>
      </c>
      <c r="B59" s="8" t="s">
        <v>288</v>
      </c>
      <c r="C59" s="8" t="s">
        <v>289</v>
      </c>
      <c r="D59" s="8">
        <v>493466</v>
      </c>
      <c r="E59" s="8" t="s">
        <v>290</v>
      </c>
      <c r="F59" s="8">
        <v>2958923</v>
      </c>
      <c r="G59" s="8">
        <v>409</v>
      </c>
      <c r="H59">
        <v>540</v>
      </c>
      <c r="I59" t="str">
        <f t="shared" si="0"/>
        <v>eligible</v>
      </c>
    </row>
    <row r="60" spans="1:9" x14ac:dyDescent="0.35">
      <c r="A60" s="8">
        <v>59</v>
      </c>
      <c r="B60" s="8" t="s">
        <v>291</v>
      </c>
      <c r="C60" s="8" t="s">
        <v>292</v>
      </c>
      <c r="D60" s="8">
        <v>342638</v>
      </c>
      <c r="E60" s="8" t="s">
        <v>293</v>
      </c>
      <c r="F60" s="8">
        <v>23128190</v>
      </c>
      <c r="G60" s="8">
        <v>404</v>
      </c>
      <c r="H60">
        <v>527</v>
      </c>
      <c r="I60" t="str">
        <f t="shared" si="0"/>
        <v>eligible</v>
      </c>
    </row>
    <row r="61" spans="1:9" x14ac:dyDescent="0.35">
      <c r="A61" s="8">
        <v>60</v>
      </c>
      <c r="B61" s="8" t="s">
        <v>294</v>
      </c>
      <c r="C61" s="8" t="s">
        <v>295</v>
      </c>
      <c r="D61" s="8">
        <v>417137</v>
      </c>
      <c r="E61" s="8" t="s">
        <v>296</v>
      </c>
      <c r="F61" s="8">
        <v>27192264</v>
      </c>
      <c r="G61" s="8">
        <v>407</v>
      </c>
      <c r="H61">
        <v>564</v>
      </c>
      <c r="I61" t="str">
        <f>IF(D61&gt;6000,"eligible","not")</f>
        <v>eligible</v>
      </c>
    </row>
    <row r="62" spans="1:9" x14ac:dyDescent="0.35">
      <c r="A62" s="8">
        <v>61</v>
      </c>
      <c r="B62" s="8" t="s">
        <v>297</v>
      </c>
      <c r="C62" s="8" t="s">
        <v>298</v>
      </c>
      <c r="D62" s="8">
        <v>115475</v>
      </c>
      <c r="E62" s="8" t="s">
        <v>299</v>
      </c>
      <c r="F62" s="8">
        <v>47231701</v>
      </c>
      <c r="G62" s="8">
        <v>401</v>
      </c>
      <c r="H62">
        <v>535</v>
      </c>
      <c r="I62" t="str">
        <f t="shared" si="0"/>
        <v>eligible</v>
      </c>
    </row>
    <row r="63" spans="1:9" x14ac:dyDescent="0.35">
      <c r="A63" s="8">
        <v>62</v>
      </c>
      <c r="B63" s="8" t="s">
        <v>300</v>
      </c>
      <c r="C63" s="8" t="s">
        <v>301</v>
      </c>
      <c r="D63" s="8">
        <v>471236</v>
      </c>
      <c r="E63" s="8" t="s">
        <v>302</v>
      </c>
      <c r="F63" s="8">
        <v>48949518</v>
      </c>
      <c r="G63" s="8">
        <v>405</v>
      </c>
      <c r="H63">
        <v>548</v>
      </c>
      <c r="I63" t="str">
        <f>IF(D63&gt;6000,"eligible","not")</f>
        <v>eligible</v>
      </c>
    </row>
    <row r="64" spans="1:9" x14ac:dyDescent="0.35">
      <c r="A64" s="8">
        <v>63</v>
      </c>
      <c r="B64" s="8" t="s">
        <v>303</v>
      </c>
      <c r="C64" s="8" t="s">
        <v>304</v>
      </c>
      <c r="D64" s="8">
        <v>459330</v>
      </c>
      <c r="E64" s="8" t="s">
        <v>305</v>
      </c>
      <c r="F64" s="8">
        <v>28994370</v>
      </c>
      <c r="G64" s="8">
        <v>403</v>
      </c>
      <c r="H64">
        <v>557</v>
      </c>
      <c r="I64" t="str">
        <f t="shared" si="0"/>
        <v>eligible</v>
      </c>
    </row>
    <row r="65" spans="1:9" x14ac:dyDescent="0.35">
      <c r="A65" s="8">
        <v>64</v>
      </c>
      <c r="B65" s="8" t="s">
        <v>306</v>
      </c>
      <c r="C65" s="8" t="s">
        <v>307</v>
      </c>
      <c r="D65" s="8">
        <v>13616</v>
      </c>
      <c r="E65" s="8" t="s">
        <v>308</v>
      </c>
      <c r="F65" s="8">
        <v>19135890</v>
      </c>
      <c r="G65" s="8">
        <v>408</v>
      </c>
      <c r="H65">
        <v>533</v>
      </c>
      <c r="I65" t="str">
        <f t="shared" si="0"/>
        <v>eligible</v>
      </c>
    </row>
    <row r="66" spans="1:9" x14ac:dyDescent="0.35">
      <c r="A66" s="8">
        <v>65</v>
      </c>
      <c r="B66" s="8" t="s">
        <v>309</v>
      </c>
      <c r="C66" s="8" t="s">
        <v>310</v>
      </c>
      <c r="D66" s="8">
        <v>241798</v>
      </c>
      <c r="E66" s="8" t="s">
        <v>311</v>
      </c>
      <c r="F66" s="8">
        <v>44745888</v>
      </c>
      <c r="G66" s="8">
        <v>400</v>
      </c>
      <c r="H66">
        <v>561</v>
      </c>
      <c r="I66" t="str">
        <f t="shared" si="0"/>
        <v>eligible</v>
      </c>
    </row>
    <row r="67" spans="1:9" x14ac:dyDescent="0.35">
      <c r="A67" s="8">
        <v>66</v>
      </c>
      <c r="B67" s="8" t="s">
        <v>312</v>
      </c>
      <c r="C67" s="8" t="s">
        <v>313</v>
      </c>
      <c r="D67" s="8">
        <v>265788</v>
      </c>
      <c r="E67" s="8" t="s">
        <v>314</v>
      </c>
      <c r="F67" s="8">
        <v>49565218</v>
      </c>
      <c r="G67" s="8">
        <v>406</v>
      </c>
      <c r="H67">
        <v>536</v>
      </c>
      <c r="I67" t="str">
        <f t="shared" ref="I67:I71" si="1">IF(D67&gt;6000,"eligible","not")</f>
        <v>eligible</v>
      </c>
    </row>
    <row r="68" spans="1:9" x14ac:dyDescent="0.35">
      <c r="A68" s="8">
        <v>67</v>
      </c>
      <c r="B68" s="8" t="s">
        <v>315</v>
      </c>
      <c r="C68" s="8" t="s">
        <v>316</v>
      </c>
      <c r="D68" s="8">
        <v>245209</v>
      </c>
      <c r="E68" s="8" t="s">
        <v>317</v>
      </c>
      <c r="F68" s="8">
        <v>44380502</v>
      </c>
      <c r="G68" s="8">
        <v>402</v>
      </c>
      <c r="H68">
        <v>554</v>
      </c>
      <c r="I68" t="str">
        <f t="shared" si="1"/>
        <v>eligible</v>
      </c>
    </row>
    <row r="69" spans="1:9" x14ac:dyDescent="0.35">
      <c r="A69" s="8">
        <v>68</v>
      </c>
      <c r="B69" s="8" t="s">
        <v>318</v>
      </c>
      <c r="C69" s="8" t="s">
        <v>319</v>
      </c>
      <c r="D69" s="8">
        <v>322325</v>
      </c>
      <c r="E69" s="8" t="s">
        <v>320</v>
      </c>
      <c r="F69" s="8">
        <v>14518668</v>
      </c>
      <c r="G69" s="8">
        <v>409</v>
      </c>
      <c r="H69">
        <v>542</v>
      </c>
      <c r="I69" t="str">
        <f t="shared" si="1"/>
        <v>eligible</v>
      </c>
    </row>
    <row r="70" spans="1:9" x14ac:dyDescent="0.35">
      <c r="A70" s="8">
        <v>69</v>
      </c>
      <c r="B70" s="8" t="s">
        <v>321</v>
      </c>
      <c r="C70" s="8" t="s">
        <v>322</v>
      </c>
      <c r="D70" s="8">
        <v>893365</v>
      </c>
      <c r="E70" s="8" t="s">
        <v>323</v>
      </c>
      <c r="F70" s="8">
        <v>40784637</v>
      </c>
      <c r="G70" s="8">
        <v>404</v>
      </c>
      <c r="H70">
        <v>568</v>
      </c>
      <c r="I70" t="str">
        <f t="shared" si="1"/>
        <v>eligible</v>
      </c>
    </row>
    <row r="71" spans="1:9" x14ac:dyDescent="0.35">
      <c r="A71" s="8">
        <v>70</v>
      </c>
      <c r="B71" s="8" t="s">
        <v>324</v>
      </c>
      <c r="C71" s="8" t="s">
        <v>325</v>
      </c>
      <c r="D71" s="8">
        <v>615294</v>
      </c>
      <c r="E71" s="8" t="s">
        <v>326</v>
      </c>
      <c r="F71" s="8">
        <v>38777037</v>
      </c>
      <c r="G71" s="8">
        <v>407</v>
      </c>
      <c r="H71">
        <v>570</v>
      </c>
      <c r="I71" t="str">
        <f t="shared" si="1"/>
        <v>eligible</v>
      </c>
    </row>
  </sheetData>
  <mergeCells count="2">
    <mergeCell ref="L6:M6"/>
    <mergeCell ref="L11:M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12D5-6521-44FA-B5D2-B45CEA21C1DF}">
  <dimension ref="A1:D71"/>
  <sheetViews>
    <sheetView zoomScale="94" zoomScaleNormal="94" workbookViewId="0">
      <selection activeCell="A22" sqref="A22:D71"/>
    </sheetView>
  </sheetViews>
  <sheetFormatPr defaultRowHeight="14.5" x14ac:dyDescent="0.35"/>
  <cols>
    <col min="2" max="2" width="11" bestFit="1" customWidth="1"/>
    <col min="4" max="4" width="23.1796875" customWidth="1"/>
  </cols>
  <sheetData>
    <row r="1" spans="1:4" x14ac:dyDescent="0.35">
      <c r="A1" t="s">
        <v>64</v>
      </c>
      <c r="B1" t="s">
        <v>65</v>
      </c>
      <c r="C1" t="s">
        <v>86</v>
      </c>
      <c r="D1" t="s">
        <v>149</v>
      </c>
    </row>
    <row r="2" spans="1:4" x14ac:dyDescent="0.35">
      <c r="A2">
        <v>500</v>
      </c>
      <c r="B2" t="s">
        <v>66</v>
      </c>
      <c r="C2">
        <v>15000</v>
      </c>
      <c r="D2">
        <v>20</v>
      </c>
    </row>
    <row r="3" spans="1:4" x14ac:dyDescent="0.35">
      <c r="A3">
        <v>501</v>
      </c>
      <c r="B3" t="s">
        <v>67</v>
      </c>
      <c r="C3">
        <v>35000</v>
      </c>
      <c r="D3">
        <v>20</v>
      </c>
    </row>
    <row r="4" spans="1:4" x14ac:dyDescent="0.35">
      <c r="A4">
        <v>502</v>
      </c>
      <c r="B4" t="s">
        <v>68</v>
      </c>
      <c r="C4">
        <v>45000</v>
      </c>
      <c r="D4">
        <v>16</v>
      </c>
    </row>
    <row r="5" spans="1:4" x14ac:dyDescent="0.35">
      <c r="A5">
        <v>503</v>
      </c>
      <c r="B5" t="s">
        <v>69</v>
      </c>
      <c r="C5">
        <v>43000</v>
      </c>
      <c r="D5">
        <v>14</v>
      </c>
    </row>
    <row r="6" spans="1:4" x14ac:dyDescent="0.35">
      <c r="A6">
        <v>504</v>
      </c>
      <c r="B6" t="s">
        <v>70</v>
      </c>
      <c r="C6">
        <v>20000</v>
      </c>
      <c r="D6">
        <v>5</v>
      </c>
    </row>
    <row r="7" spans="1:4" x14ac:dyDescent="0.35">
      <c r="A7">
        <v>505</v>
      </c>
      <c r="B7" t="s">
        <v>71</v>
      </c>
      <c r="C7">
        <v>30000</v>
      </c>
      <c r="D7">
        <v>10</v>
      </c>
    </row>
    <row r="8" spans="1:4" x14ac:dyDescent="0.35">
      <c r="A8">
        <v>506</v>
      </c>
      <c r="B8" t="s">
        <v>72</v>
      </c>
      <c r="C8">
        <v>60000</v>
      </c>
      <c r="D8">
        <v>3</v>
      </c>
    </row>
    <row r="9" spans="1:4" x14ac:dyDescent="0.35">
      <c r="A9">
        <v>507</v>
      </c>
      <c r="B9" t="s">
        <v>73</v>
      </c>
      <c r="C9">
        <v>40000</v>
      </c>
      <c r="D9">
        <v>6</v>
      </c>
    </row>
    <row r="10" spans="1:4" x14ac:dyDescent="0.35">
      <c r="A10">
        <v>508</v>
      </c>
      <c r="B10" t="s">
        <v>74</v>
      </c>
      <c r="C10">
        <v>350000</v>
      </c>
      <c r="D10">
        <v>8</v>
      </c>
    </row>
    <row r="11" spans="1:4" x14ac:dyDescent="0.35">
      <c r="A11">
        <v>509</v>
      </c>
      <c r="B11" t="s">
        <v>75</v>
      </c>
      <c r="C11">
        <v>30000</v>
      </c>
      <c r="D11">
        <v>11</v>
      </c>
    </row>
    <row r="12" spans="1:4" x14ac:dyDescent="0.35">
      <c r="A12">
        <v>510</v>
      </c>
      <c r="B12" t="s">
        <v>76</v>
      </c>
      <c r="C12">
        <v>15000</v>
      </c>
      <c r="D12">
        <v>14</v>
      </c>
    </row>
    <row r="13" spans="1:4" x14ac:dyDescent="0.35">
      <c r="A13">
        <v>511</v>
      </c>
      <c r="B13" t="s">
        <v>77</v>
      </c>
      <c r="C13">
        <v>20000</v>
      </c>
      <c r="D13">
        <v>16</v>
      </c>
    </row>
    <row r="14" spans="1:4" x14ac:dyDescent="0.35">
      <c r="A14">
        <v>512</v>
      </c>
      <c r="B14" t="s">
        <v>78</v>
      </c>
      <c r="C14">
        <v>30000</v>
      </c>
      <c r="D14">
        <v>15</v>
      </c>
    </row>
    <row r="15" spans="1:4" x14ac:dyDescent="0.35">
      <c r="A15">
        <v>513</v>
      </c>
      <c r="B15" t="s">
        <v>79</v>
      </c>
      <c r="C15">
        <v>60000</v>
      </c>
      <c r="D15">
        <v>8</v>
      </c>
    </row>
    <row r="16" spans="1:4" x14ac:dyDescent="0.35">
      <c r="A16">
        <v>514</v>
      </c>
      <c r="B16" t="s">
        <v>80</v>
      </c>
      <c r="C16">
        <v>950000</v>
      </c>
      <c r="D16">
        <v>2</v>
      </c>
    </row>
    <row r="17" spans="1:4" x14ac:dyDescent="0.35">
      <c r="A17">
        <v>515</v>
      </c>
      <c r="B17" t="s">
        <v>81</v>
      </c>
      <c r="C17">
        <v>90000</v>
      </c>
      <c r="D17">
        <v>17</v>
      </c>
    </row>
    <row r="18" spans="1:4" x14ac:dyDescent="0.35">
      <c r="A18">
        <v>516</v>
      </c>
      <c r="B18" t="s">
        <v>82</v>
      </c>
      <c r="C18">
        <v>200000</v>
      </c>
      <c r="D18">
        <v>4</v>
      </c>
    </row>
    <row r="19" spans="1:4" x14ac:dyDescent="0.35">
      <c r="A19">
        <v>517</v>
      </c>
      <c r="B19" t="s">
        <v>83</v>
      </c>
      <c r="C19">
        <v>60000</v>
      </c>
      <c r="D19">
        <v>6</v>
      </c>
    </row>
    <row r="20" spans="1:4" x14ac:dyDescent="0.35">
      <c r="A20">
        <v>518</v>
      </c>
      <c r="B20" t="s">
        <v>84</v>
      </c>
      <c r="C20">
        <v>70000</v>
      </c>
      <c r="D20">
        <v>12</v>
      </c>
    </row>
    <row r="21" spans="1:4" x14ac:dyDescent="0.35">
      <c r="A21">
        <v>519</v>
      </c>
      <c r="B21" t="s">
        <v>85</v>
      </c>
      <c r="C21">
        <v>90000</v>
      </c>
      <c r="D21">
        <v>15</v>
      </c>
    </row>
    <row r="22" spans="1:4" x14ac:dyDescent="0.35">
      <c r="A22" s="8">
        <v>520</v>
      </c>
      <c r="B22" s="8" t="s">
        <v>327</v>
      </c>
      <c r="C22" s="8">
        <v>581000</v>
      </c>
      <c r="D22" s="8">
        <v>68</v>
      </c>
    </row>
    <row r="23" spans="1:4" x14ac:dyDescent="0.35">
      <c r="A23" s="8">
        <v>521</v>
      </c>
      <c r="B23" s="8" t="s">
        <v>328</v>
      </c>
      <c r="C23" s="8">
        <v>930000</v>
      </c>
      <c r="D23" s="8">
        <v>2</v>
      </c>
    </row>
    <row r="24" spans="1:4" x14ac:dyDescent="0.35">
      <c r="A24" s="8">
        <v>522</v>
      </c>
      <c r="B24" s="8" t="s">
        <v>329</v>
      </c>
      <c r="C24" s="8">
        <v>864000</v>
      </c>
      <c r="D24" s="8">
        <v>41</v>
      </c>
    </row>
    <row r="25" spans="1:4" x14ac:dyDescent="0.35">
      <c r="A25" s="8">
        <v>523</v>
      </c>
      <c r="B25" s="8" t="s">
        <v>330</v>
      </c>
      <c r="C25" s="8">
        <v>574000</v>
      </c>
      <c r="D25" s="8">
        <v>36</v>
      </c>
    </row>
    <row r="26" spans="1:4" x14ac:dyDescent="0.35">
      <c r="A26" s="8">
        <v>524</v>
      </c>
      <c r="B26" s="8" t="s">
        <v>331</v>
      </c>
      <c r="C26" s="8">
        <v>850000</v>
      </c>
      <c r="D26" s="8">
        <v>45</v>
      </c>
    </row>
    <row r="27" spans="1:4" x14ac:dyDescent="0.35">
      <c r="A27" s="8">
        <v>525</v>
      </c>
      <c r="B27" s="8" t="s">
        <v>332</v>
      </c>
      <c r="C27" s="8">
        <v>674000</v>
      </c>
      <c r="D27" s="8">
        <v>33</v>
      </c>
    </row>
    <row r="28" spans="1:4" x14ac:dyDescent="0.35">
      <c r="A28" s="8">
        <v>526</v>
      </c>
      <c r="B28" s="8" t="s">
        <v>333</v>
      </c>
      <c r="C28" s="8">
        <v>424000</v>
      </c>
      <c r="D28" s="8">
        <v>55</v>
      </c>
    </row>
    <row r="29" spans="1:4" x14ac:dyDescent="0.35">
      <c r="A29" s="8">
        <v>527</v>
      </c>
      <c r="B29" s="8" t="s">
        <v>334</v>
      </c>
      <c r="C29" s="8">
        <v>524000</v>
      </c>
      <c r="D29" s="8">
        <v>1</v>
      </c>
    </row>
    <row r="30" spans="1:4" x14ac:dyDescent="0.35">
      <c r="A30" s="8">
        <v>528</v>
      </c>
      <c r="B30" s="8" t="s">
        <v>335</v>
      </c>
      <c r="C30" s="8">
        <v>472000</v>
      </c>
      <c r="D30" s="8">
        <v>52</v>
      </c>
    </row>
    <row r="31" spans="1:4" x14ac:dyDescent="0.35">
      <c r="A31" s="8">
        <v>529</v>
      </c>
      <c r="B31" s="8" t="s">
        <v>336</v>
      </c>
      <c r="C31" s="8">
        <v>693000</v>
      </c>
      <c r="D31" s="8">
        <v>48</v>
      </c>
    </row>
    <row r="32" spans="1:4" x14ac:dyDescent="0.35">
      <c r="A32" s="8">
        <v>530</v>
      </c>
      <c r="B32" s="8" t="s">
        <v>337</v>
      </c>
      <c r="C32" s="8">
        <v>275000</v>
      </c>
      <c r="D32" s="8">
        <v>58</v>
      </c>
    </row>
    <row r="33" spans="1:4" x14ac:dyDescent="0.35">
      <c r="A33" s="8">
        <v>531</v>
      </c>
      <c r="B33" s="8" t="s">
        <v>338</v>
      </c>
      <c r="C33" s="8">
        <v>669000</v>
      </c>
      <c r="D33" s="8">
        <v>37</v>
      </c>
    </row>
    <row r="34" spans="1:4" x14ac:dyDescent="0.35">
      <c r="A34" s="8">
        <v>532</v>
      </c>
      <c r="B34" s="8" t="s">
        <v>339</v>
      </c>
      <c r="C34" s="8">
        <v>820000</v>
      </c>
      <c r="D34" s="8">
        <v>65</v>
      </c>
    </row>
    <row r="35" spans="1:4" x14ac:dyDescent="0.35">
      <c r="A35" s="8">
        <v>533</v>
      </c>
      <c r="B35" s="8" t="s">
        <v>340</v>
      </c>
      <c r="C35" s="8">
        <v>393000</v>
      </c>
      <c r="D35" s="8">
        <v>17</v>
      </c>
    </row>
    <row r="36" spans="1:4" x14ac:dyDescent="0.35">
      <c r="A36" s="8">
        <v>534</v>
      </c>
      <c r="B36" s="8" t="s">
        <v>341</v>
      </c>
      <c r="C36" s="8">
        <v>627000</v>
      </c>
      <c r="D36" s="8">
        <v>33</v>
      </c>
    </row>
    <row r="37" spans="1:4" x14ac:dyDescent="0.35">
      <c r="A37" s="8">
        <v>535</v>
      </c>
      <c r="B37" s="8" t="s">
        <v>342</v>
      </c>
      <c r="C37" s="8">
        <v>372000</v>
      </c>
      <c r="D37" s="8">
        <v>38</v>
      </c>
    </row>
    <row r="38" spans="1:4" x14ac:dyDescent="0.35">
      <c r="A38" s="8">
        <v>536</v>
      </c>
      <c r="B38" s="8" t="s">
        <v>343</v>
      </c>
      <c r="C38" s="8">
        <v>254000</v>
      </c>
      <c r="D38" s="8">
        <v>67</v>
      </c>
    </row>
    <row r="39" spans="1:4" x14ac:dyDescent="0.35">
      <c r="A39" s="8">
        <v>537</v>
      </c>
      <c r="B39" s="8" t="s">
        <v>344</v>
      </c>
      <c r="C39" s="8">
        <v>507000</v>
      </c>
      <c r="D39" s="8">
        <v>3</v>
      </c>
    </row>
    <row r="40" spans="1:4" x14ac:dyDescent="0.35">
      <c r="A40" s="8">
        <v>538</v>
      </c>
      <c r="B40" s="8" t="s">
        <v>345</v>
      </c>
      <c r="C40" s="8">
        <v>809000</v>
      </c>
      <c r="D40" s="8">
        <v>42</v>
      </c>
    </row>
    <row r="41" spans="1:4" x14ac:dyDescent="0.35">
      <c r="A41" s="8">
        <v>539</v>
      </c>
      <c r="B41" s="8" t="s">
        <v>346</v>
      </c>
      <c r="C41" s="8">
        <v>867000</v>
      </c>
      <c r="D41" s="8">
        <v>65</v>
      </c>
    </row>
    <row r="42" spans="1:4" x14ac:dyDescent="0.35">
      <c r="A42" s="8">
        <v>540</v>
      </c>
      <c r="B42" s="8" t="s">
        <v>347</v>
      </c>
      <c r="C42" s="8">
        <v>950000</v>
      </c>
      <c r="D42" s="8">
        <v>65</v>
      </c>
    </row>
    <row r="43" spans="1:4" x14ac:dyDescent="0.35">
      <c r="A43" s="8">
        <v>541</v>
      </c>
      <c r="B43" s="8" t="s">
        <v>348</v>
      </c>
      <c r="C43" s="8">
        <v>672000</v>
      </c>
      <c r="D43" s="8">
        <v>5</v>
      </c>
    </row>
    <row r="44" spans="1:4" x14ac:dyDescent="0.35">
      <c r="A44" s="8">
        <v>542</v>
      </c>
      <c r="B44" s="8" t="s">
        <v>349</v>
      </c>
      <c r="C44" s="8">
        <v>887000</v>
      </c>
      <c r="D44" s="8">
        <v>45</v>
      </c>
    </row>
    <row r="45" spans="1:4" x14ac:dyDescent="0.35">
      <c r="A45" s="8">
        <v>543</v>
      </c>
      <c r="B45" s="8" t="s">
        <v>350</v>
      </c>
      <c r="C45" s="8">
        <v>243000</v>
      </c>
      <c r="D45" s="8">
        <v>15</v>
      </c>
    </row>
    <row r="46" spans="1:4" x14ac:dyDescent="0.35">
      <c r="A46" s="8">
        <v>544</v>
      </c>
      <c r="B46" s="8" t="s">
        <v>351</v>
      </c>
      <c r="C46" s="8">
        <v>900000</v>
      </c>
      <c r="D46" s="8">
        <v>29</v>
      </c>
    </row>
    <row r="47" spans="1:4" x14ac:dyDescent="0.35">
      <c r="A47" s="8">
        <v>545</v>
      </c>
      <c r="B47" s="8" t="s">
        <v>352</v>
      </c>
      <c r="C47" s="8">
        <v>284000</v>
      </c>
      <c r="D47" s="8">
        <v>22</v>
      </c>
    </row>
    <row r="48" spans="1:4" x14ac:dyDescent="0.35">
      <c r="A48" s="8">
        <v>546</v>
      </c>
      <c r="B48" s="8" t="s">
        <v>353</v>
      </c>
      <c r="C48" s="8">
        <v>705000</v>
      </c>
      <c r="D48" s="8">
        <v>17</v>
      </c>
    </row>
    <row r="49" spans="1:4" x14ac:dyDescent="0.35">
      <c r="A49" s="8">
        <v>547</v>
      </c>
      <c r="B49" s="8" t="s">
        <v>354</v>
      </c>
      <c r="C49" s="8">
        <v>317000</v>
      </c>
      <c r="D49" s="8">
        <v>17</v>
      </c>
    </row>
    <row r="50" spans="1:4" x14ac:dyDescent="0.35">
      <c r="A50" s="8">
        <v>548</v>
      </c>
      <c r="B50" s="8" t="s">
        <v>355</v>
      </c>
      <c r="C50" s="8">
        <v>610000</v>
      </c>
      <c r="D50" s="8">
        <v>6</v>
      </c>
    </row>
    <row r="51" spans="1:4" x14ac:dyDescent="0.35">
      <c r="A51" s="8">
        <v>549</v>
      </c>
      <c r="B51" s="8" t="s">
        <v>356</v>
      </c>
      <c r="C51" s="8">
        <v>203000</v>
      </c>
      <c r="D51" s="8">
        <v>1</v>
      </c>
    </row>
    <row r="52" spans="1:4" x14ac:dyDescent="0.35">
      <c r="A52" s="8">
        <v>550</v>
      </c>
      <c r="B52" s="8" t="s">
        <v>357</v>
      </c>
      <c r="C52" s="8">
        <v>154000</v>
      </c>
      <c r="D52" s="8">
        <v>13</v>
      </c>
    </row>
    <row r="53" spans="1:4" x14ac:dyDescent="0.35">
      <c r="A53" s="8">
        <v>551</v>
      </c>
      <c r="B53" s="8" t="s">
        <v>358</v>
      </c>
      <c r="C53" s="8">
        <v>520000</v>
      </c>
      <c r="D53" s="8">
        <v>31</v>
      </c>
    </row>
    <row r="54" spans="1:4" x14ac:dyDescent="0.35">
      <c r="A54" s="8">
        <v>552</v>
      </c>
      <c r="B54" s="8" t="s">
        <v>359</v>
      </c>
      <c r="C54" s="8">
        <v>442000</v>
      </c>
      <c r="D54" s="8">
        <v>41</v>
      </c>
    </row>
    <row r="55" spans="1:4" x14ac:dyDescent="0.35">
      <c r="A55" s="8">
        <v>553</v>
      </c>
      <c r="B55" s="8" t="s">
        <v>360</v>
      </c>
      <c r="C55" s="8">
        <v>258000</v>
      </c>
      <c r="D55" s="8">
        <v>68</v>
      </c>
    </row>
    <row r="56" spans="1:4" x14ac:dyDescent="0.35">
      <c r="A56" s="8">
        <v>554</v>
      </c>
      <c r="B56" s="8" t="s">
        <v>361</v>
      </c>
      <c r="C56" s="8">
        <v>385000</v>
      </c>
      <c r="D56" s="8">
        <v>46</v>
      </c>
    </row>
    <row r="57" spans="1:4" x14ac:dyDescent="0.35">
      <c r="A57" s="8">
        <v>555</v>
      </c>
      <c r="B57" s="8" t="s">
        <v>362</v>
      </c>
      <c r="C57" s="8">
        <v>615000</v>
      </c>
      <c r="D57" s="8">
        <v>52</v>
      </c>
    </row>
    <row r="58" spans="1:4" x14ac:dyDescent="0.35">
      <c r="A58" s="8">
        <v>556</v>
      </c>
      <c r="B58" s="8" t="s">
        <v>363</v>
      </c>
      <c r="C58" s="8">
        <v>462000</v>
      </c>
      <c r="D58" s="8">
        <v>42</v>
      </c>
    </row>
    <row r="59" spans="1:4" x14ac:dyDescent="0.35">
      <c r="A59" s="8">
        <v>557</v>
      </c>
      <c r="B59" s="8" t="s">
        <v>364</v>
      </c>
      <c r="C59" s="8">
        <v>876000</v>
      </c>
      <c r="D59" s="8">
        <v>53</v>
      </c>
    </row>
    <row r="60" spans="1:4" x14ac:dyDescent="0.35">
      <c r="A60" s="8">
        <v>558</v>
      </c>
      <c r="B60" s="8" t="s">
        <v>365</v>
      </c>
      <c r="C60" s="8">
        <v>998000</v>
      </c>
      <c r="D60" s="8">
        <v>33</v>
      </c>
    </row>
    <row r="61" spans="1:4" x14ac:dyDescent="0.35">
      <c r="A61" s="8">
        <v>559</v>
      </c>
      <c r="B61" s="8" t="s">
        <v>366</v>
      </c>
      <c r="C61" s="8">
        <v>277000</v>
      </c>
      <c r="D61" s="8">
        <v>48</v>
      </c>
    </row>
    <row r="62" spans="1:4" x14ac:dyDescent="0.35">
      <c r="A62" s="8">
        <v>560</v>
      </c>
      <c r="B62" s="8" t="s">
        <v>367</v>
      </c>
      <c r="C62" s="8">
        <v>310000</v>
      </c>
      <c r="D62" s="8">
        <v>29</v>
      </c>
    </row>
    <row r="63" spans="1:4" x14ac:dyDescent="0.35">
      <c r="A63" s="8">
        <v>561</v>
      </c>
      <c r="B63" s="8" t="s">
        <v>368</v>
      </c>
      <c r="C63" s="8">
        <v>319000</v>
      </c>
      <c r="D63" s="8">
        <v>21</v>
      </c>
    </row>
    <row r="64" spans="1:4" x14ac:dyDescent="0.35">
      <c r="A64" s="8">
        <v>562</v>
      </c>
      <c r="B64" s="8" t="s">
        <v>369</v>
      </c>
      <c r="C64" s="8">
        <v>78000</v>
      </c>
      <c r="D64" s="8">
        <v>35</v>
      </c>
    </row>
    <row r="65" spans="1:4" x14ac:dyDescent="0.35">
      <c r="A65" s="8">
        <v>563</v>
      </c>
      <c r="B65" s="8" t="s">
        <v>370</v>
      </c>
      <c r="C65" s="8">
        <v>697000</v>
      </c>
      <c r="D65" s="8">
        <v>9</v>
      </c>
    </row>
    <row r="66" spans="1:4" x14ac:dyDescent="0.35">
      <c r="A66" s="8">
        <v>564</v>
      </c>
      <c r="B66" s="8" t="s">
        <v>371</v>
      </c>
      <c r="C66" s="8">
        <v>704000</v>
      </c>
      <c r="D66" s="8">
        <v>29</v>
      </c>
    </row>
    <row r="67" spans="1:4" x14ac:dyDescent="0.35">
      <c r="A67" s="8">
        <v>565</v>
      </c>
      <c r="B67" s="8" t="s">
        <v>372</v>
      </c>
      <c r="C67" s="8">
        <v>629000</v>
      </c>
      <c r="D67" s="8">
        <v>58</v>
      </c>
    </row>
    <row r="68" spans="1:4" x14ac:dyDescent="0.35">
      <c r="A68" s="8">
        <v>566</v>
      </c>
      <c r="B68" s="8" t="s">
        <v>373</v>
      </c>
      <c r="C68" s="8">
        <v>422000</v>
      </c>
      <c r="D68" s="8">
        <v>30</v>
      </c>
    </row>
    <row r="69" spans="1:4" x14ac:dyDescent="0.35">
      <c r="A69" s="8">
        <v>567</v>
      </c>
      <c r="B69" s="8" t="s">
        <v>374</v>
      </c>
      <c r="C69" s="8">
        <v>201000</v>
      </c>
      <c r="D69" s="8">
        <v>35</v>
      </c>
    </row>
    <row r="70" spans="1:4" x14ac:dyDescent="0.35">
      <c r="A70" s="8">
        <v>568</v>
      </c>
      <c r="B70" s="8" t="s">
        <v>375</v>
      </c>
      <c r="C70" s="8">
        <v>150000</v>
      </c>
      <c r="D70" s="8">
        <v>31</v>
      </c>
    </row>
    <row r="71" spans="1:4" x14ac:dyDescent="0.35">
      <c r="A71" s="8">
        <v>569</v>
      </c>
      <c r="B71" s="8" t="s">
        <v>376</v>
      </c>
      <c r="C71" s="8">
        <v>473000</v>
      </c>
      <c r="D71" s="8">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4C59-FE19-4E09-B905-2870EC00C62B}">
  <dimension ref="A1:D31"/>
  <sheetViews>
    <sheetView topLeftCell="A7" workbookViewId="0">
      <selection activeCell="G31" sqref="G31"/>
    </sheetView>
  </sheetViews>
  <sheetFormatPr defaultRowHeight="14.5" x14ac:dyDescent="0.35"/>
  <cols>
    <col min="3" max="3" width="18.1796875" bestFit="1" customWidth="1"/>
  </cols>
  <sheetData>
    <row r="1" spans="1:4" x14ac:dyDescent="0.35">
      <c r="A1" s="8" t="s">
        <v>163</v>
      </c>
      <c r="B1" s="8" t="s">
        <v>511</v>
      </c>
      <c r="C1" s="8" t="s">
        <v>512</v>
      </c>
      <c r="D1" s="8" t="s">
        <v>513</v>
      </c>
    </row>
    <row r="2" spans="1:4" x14ac:dyDescent="0.35">
      <c r="A2" s="8">
        <v>400</v>
      </c>
      <c r="B2" s="8" t="s">
        <v>388</v>
      </c>
      <c r="C2" s="8" t="s">
        <v>161</v>
      </c>
      <c r="D2" s="8">
        <v>25000</v>
      </c>
    </row>
    <row r="3" spans="1:4" x14ac:dyDescent="0.35">
      <c r="A3" s="8">
        <v>401</v>
      </c>
      <c r="B3" s="8" t="s">
        <v>472</v>
      </c>
      <c r="C3" s="8" t="s">
        <v>161</v>
      </c>
      <c r="D3" s="8">
        <v>30000</v>
      </c>
    </row>
    <row r="4" spans="1:4" x14ac:dyDescent="0.35">
      <c r="A4" s="8">
        <v>402</v>
      </c>
      <c r="B4" s="8" t="s">
        <v>391</v>
      </c>
      <c r="C4" s="8" t="s">
        <v>161</v>
      </c>
      <c r="D4" s="8">
        <v>39000</v>
      </c>
    </row>
    <row r="5" spans="1:4" x14ac:dyDescent="0.35">
      <c r="A5" s="8">
        <v>403</v>
      </c>
      <c r="B5" s="8" t="s">
        <v>475</v>
      </c>
      <c r="C5" s="8" t="s">
        <v>161</v>
      </c>
      <c r="D5" s="8">
        <v>38000</v>
      </c>
    </row>
    <row r="6" spans="1:4" x14ac:dyDescent="0.35">
      <c r="A6" s="8">
        <v>404</v>
      </c>
      <c r="B6" s="8" t="s">
        <v>477</v>
      </c>
      <c r="C6" s="8" t="s">
        <v>161</v>
      </c>
      <c r="D6" s="8">
        <v>39000</v>
      </c>
    </row>
    <row r="7" spans="1:4" x14ac:dyDescent="0.35">
      <c r="A7" s="8">
        <v>405</v>
      </c>
      <c r="B7" s="8" t="s">
        <v>405</v>
      </c>
      <c r="C7" s="8" t="s">
        <v>161</v>
      </c>
      <c r="D7" s="8">
        <v>31000</v>
      </c>
    </row>
    <row r="8" spans="1:4" x14ac:dyDescent="0.35">
      <c r="A8" s="8">
        <v>406</v>
      </c>
      <c r="B8" s="8" t="s">
        <v>480</v>
      </c>
      <c r="C8" s="8" t="s">
        <v>161</v>
      </c>
      <c r="D8" s="8">
        <v>37000</v>
      </c>
    </row>
    <row r="9" spans="1:4" x14ac:dyDescent="0.35">
      <c r="A9" s="8">
        <v>407</v>
      </c>
      <c r="B9" s="8" t="s">
        <v>482</v>
      </c>
      <c r="C9" s="8" t="s">
        <v>161</v>
      </c>
      <c r="D9" s="8">
        <v>34000</v>
      </c>
    </row>
    <row r="10" spans="1:4" x14ac:dyDescent="0.35">
      <c r="A10" s="8">
        <v>408</v>
      </c>
      <c r="B10" s="8" t="s">
        <v>484</v>
      </c>
      <c r="C10" s="8" t="s">
        <v>161</v>
      </c>
      <c r="D10" s="8">
        <v>41000</v>
      </c>
    </row>
    <row r="11" spans="1:4" x14ac:dyDescent="0.35">
      <c r="A11" s="8">
        <v>409</v>
      </c>
      <c r="B11" s="8" t="s">
        <v>486</v>
      </c>
      <c r="C11" s="8" t="s">
        <v>161</v>
      </c>
      <c r="D11" s="8">
        <v>27000</v>
      </c>
    </row>
    <row r="12" spans="1:4" x14ac:dyDescent="0.35">
      <c r="A12" s="8">
        <v>410</v>
      </c>
      <c r="B12" s="8" t="s">
        <v>487</v>
      </c>
      <c r="C12" s="8" t="s">
        <v>473</v>
      </c>
      <c r="D12" s="8">
        <v>33000</v>
      </c>
    </row>
    <row r="13" spans="1:4" x14ac:dyDescent="0.35">
      <c r="A13" s="8">
        <v>411</v>
      </c>
      <c r="B13" s="8" t="s">
        <v>488</v>
      </c>
      <c r="C13" s="8" t="s">
        <v>474</v>
      </c>
      <c r="D13" s="8">
        <v>31000</v>
      </c>
    </row>
    <row r="14" spans="1:4" x14ac:dyDescent="0.35">
      <c r="A14" s="8">
        <v>412</v>
      </c>
      <c r="B14" s="8" t="s">
        <v>378</v>
      </c>
      <c r="C14" s="8" t="s">
        <v>476</v>
      </c>
      <c r="D14" s="8">
        <v>32000</v>
      </c>
    </row>
    <row r="15" spans="1:4" x14ac:dyDescent="0.35">
      <c r="A15" s="8">
        <v>413</v>
      </c>
      <c r="B15" s="8" t="s">
        <v>491</v>
      </c>
      <c r="C15" s="8" t="s">
        <v>478</v>
      </c>
      <c r="D15" s="8">
        <v>31000</v>
      </c>
    </row>
    <row r="16" spans="1:4" x14ac:dyDescent="0.35">
      <c r="A16" s="8">
        <v>414</v>
      </c>
      <c r="B16" s="8" t="s">
        <v>493</v>
      </c>
      <c r="C16" s="8" t="s">
        <v>481</v>
      </c>
      <c r="D16" s="8">
        <v>33000</v>
      </c>
    </row>
    <row r="17" spans="1:4" x14ac:dyDescent="0.35">
      <c r="A17" s="8">
        <v>415</v>
      </c>
      <c r="B17" s="8" t="s">
        <v>495</v>
      </c>
      <c r="C17" s="8" t="s">
        <v>483</v>
      </c>
      <c r="D17" s="8">
        <v>35000</v>
      </c>
    </row>
    <row r="18" spans="1:4" x14ac:dyDescent="0.35">
      <c r="A18" s="8">
        <v>416</v>
      </c>
      <c r="B18" s="8" t="s">
        <v>386</v>
      </c>
      <c r="C18" s="8" t="s">
        <v>485</v>
      </c>
      <c r="D18" s="8">
        <v>40000</v>
      </c>
    </row>
    <row r="19" spans="1:4" x14ac:dyDescent="0.35">
      <c r="A19" s="8">
        <v>417</v>
      </c>
      <c r="B19" s="8" t="s">
        <v>414</v>
      </c>
      <c r="C19" s="8" t="s">
        <v>492</v>
      </c>
      <c r="D19" s="8">
        <v>42000</v>
      </c>
    </row>
    <row r="20" spans="1:4" x14ac:dyDescent="0.35">
      <c r="A20" s="8">
        <v>418</v>
      </c>
      <c r="B20" s="8" t="s">
        <v>498</v>
      </c>
      <c r="C20" s="8" t="s">
        <v>490</v>
      </c>
      <c r="D20" s="8">
        <v>37000</v>
      </c>
    </row>
    <row r="21" spans="1:4" x14ac:dyDescent="0.35">
      <c r="A21" s="8">
        <v>419</v>
      </c>
      <c r="B21" s="8" t="s">
        <v>407</v>
      </c>
      <c r="C21" s="8" t="s">
        <v>514</v>
      </c>
      <c r="D21" s="8">
        <v>51000</v>
      </c>
    </row>
    <row r="22" spans="1:4" x14ac:dyDescent="0.35">
      <c r="A22" s="8">
        <v>420</v>
      </c>
      <c r="B22" s="8" t="s">
        <v>500</v>
      </c>
      <c r="C22" s="8" t="s">
        <v>496</v>
      </c>
      <c r="D22" s="8">
        <v>65000</v>
      </c>
    </row>
    <row r="23" spans="1:4" x14ac:dyDescent="0.35">
      <c r="A23" s="8">
        <v>421</v>
      </c>
      <c r="B23" s="8" t="s">
        <v>380</v>
      </c>
      <c r="C23" s="8" t="s">
        <v>494</v>
      </c>
      <c r="D23" s="8">
        <v>34000</v>
      </c>
    </row>
    <row r="24" spans="1:4" x14ac:dyDescent="0.35">
      <c r="A24" s="8">
        <v>422</v>
      </c>
      <c r="B24" s="8" t="s">
        <v>501</v>
      </c>
      <c r="C24" s="8" t="s">
        <v>515</v>
      </c>
      <c r="D24" s="8">
        <v>52000</v>
      </c>
    </row>
    <row r="25" spans="1:4" x14ac:dyDescent="0.35">
      <c r="A25" s="8">
        <v>423</v>
      </c>
      <c r="B25" s="8" t="s">
        <v>503</v>
      </c>
      <c r="C25" s="8" t="s">
        <v>479</v>
      </c>
      <c r="D25" s="8">
        <v>51000</v>
      </c>
    </row>
    <row r="26" spans="1:4" x14ac:dyDescent="0.35">
      <c r="A26" s="8">
        <v>424</v>
      </c>
      <c r="B26" s="8" t="s">
        <v>505</v>
      </c>
      <c r="C26" s="8" t="s">
        <v>499</v>
      </c>
      <c r="D26" s="8">
        <v>38000</v>
      </c>
    </row>
    <row r="27" spans="1:4" x14ac:dyDescent="0.35">
      <c r="A27" s="8">
        <v>425</v>
      </c>
      <c r="B27" s="8" t="s">
        <v>506</v>
      </c>
      <c r="C27" s="8" t="s">
        <v>489</v>
      </c>
      <c r="D27" s="8">
        <v>33000</v>
      </c>
    </row>
    <row r="28" spans="1:4" x14ac:dyDescent="0.35">
      <c r="A28" s="8">
        <v>426</v>
      </c>
      <c r="B28" s="8" t="s">
        <v>508</v>
      </c>
      <c r="C28" s="8" t="s">
        <v>502</v>
      </c>
      <c r="D28" s="8">
        <v>44000</v>
      </c>
    </row>
    <row r="29" spans="1:4" x14ac:dyDescent="0.35">
      <c r="A29" s="8">
        <v>427</v>
      </c>
      <c r="B29" s="8" t="s">
        <v>397</v>
      </c>
      <c r="C29" s="8" t="s">
        <v>504</v>
      </c>
      <c r="D29" s="8">
        <v>42000</v>
      </c>
    </row>
    <row r="30" spans="1:4" x14ac:dyDescent="0.35">
      <c r="A30" s="8">
        <v>428</v>
      </c>
      <c r="B30" s="8" t="s">
        <v>509</v>
      </c>
      <c r="C30" s="8" t="s">
        <v>507</v>
      </c>
      <c r="D30" s="8">
        <v>44000</v>
      </c>
    </row>
    <row r="31" spans="1:4" x14ac:dyDescent="0.35">
      <c r="A31" s="8">
        <v>429</v>
      </c>
      <c r="B31" s="8" t="s">
        <v>510</v>
      </c>
      <c r="C31" s="8" t="s">
        <v>497</v>
      </c>
      <c r="D31" s="8">
        <v>39000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B3FF-91BD-41B3-B200-40C7ACC080B9}">
  <dimension ref="A1:F31"/>
  <sheetViews>
    <sheetView workbookViewId="0">
      <selection activeCell="D3" sqref="D3"/>
    </sheetView>
  </sheetViews>
  <sheetFormatPr defaultRowHeight="14.5" x14ac:dyDescent="0.35"/>
  <cols>
    <col min="2" max="2" width="19.1796875" bestFit="1" customWidth="1"/>
    <col min="3" max="3" width="7.7265625" bestFit="1" customWidth="1"/>
    <col min="5" max="5" width="12.08984375" bestFit="1" customWidth="1"/>
    <col min="6" max="6" width="13" bestFit="1" customWidth="1"/>
  </cols>
  <sheetData>
    <row r="1" spans="1:6" x14ac:dyDescent="0.35">
      <c r="A1" t="s">
        <v>174</v>
      </c>
      <c r="B1" t="s">
        <v>87</v>
      </c>
      <c r="C1" t="s">
        <v>175</v>
      </c>
      <c r="D1" t="s">
        <v>93</v>
      </c>
      <c r="E1" t="s">
        <v>94</v>
      </c>
      <c r="F1" t="s">
        <v>95</v>
      </c>
    </row>
    <row r="2" spans="1:6" x14ac:dyDescent="0.35">
      <c r="A2" s="8">
        <v>100</v>
      </c>
      <c r="B2" s="8" t="s">
        <v>88</v>
      </c>
      <c r="C2" s="8">
        <v>15</v>
      </c>
      <c r="D2" s="8" t="s">
        <v>377</v>
      </c>
      <c r="E2" s="8" t="s">
        <v>122</v>
      </c>
      <c r="F2" s="8" t="s">
        <v>378</v>
      </c>
    </row>
    <row r="3" spans="1:6" x14ac:dyDescent="0.35">
      <c r="A3" s="8">
        <v>101</v>
      </c>
      <c r="B3" s="8" t="s">
        <v>89</v>
      </c>
      <c r="C3" s="8">
        <v>6</v>
      </c>
      <c r="D3" s="8" t="s">
        <v>129</v>
      </c>
      <c r="E3" s="8" t="s">
        <v>379</v>
      </c>
      <c r="F3" s="8" t="s">
        <v>380</v>
      </c>
    </row>
    <row r="4" spans="1:6" x14ac:dyDescent="0.35">
      <c r="A4" s="8">
        <v>102</v>
      </c>
      <c r="B4" s="8" t="s">
        <v>90</v>
      </c>
      <c r="C4" s="8">
        <v>0</v>
      </c>
      <c r="D4" s="8" t="s">
        <v>381</v>
      </c>
      <c r="E4" s="8" t="s">
        <v>382</v>
      </c>
      <c r="F4" s="8" t="s">
        <v>383</v>
      </c>
    </row>
    <row r="5" spans="1:6" x14ac:dyDescent="0.35">
      <c r="A5" s="8">
        <v>103</v>
      </c>
      <c r="B5" s="8" t="s">
        <v>384</v>
      </c>
      <c r="C5" s="8">
        <v>2</v>
      </c>
      <c r="D5" s="8" t="s">
        <v>385</v>
      </c>
      <c r="E5" s="8" t="s">
        <v>122</v>
      </c>
      <c r="F5" s="8" t="s">
        <v>386</v>
      </c>
    </row>
    <row r="6" spans="1:6" x14ac:dyDescent="0.35">
      <c r="A6" s="8">
        <v>104</v>
      </c>
      <c r="B6" s="8" t="s">
        <v>387</v>
      </c>
      <c r="C6" s="8">
        <v>13</v>
      </c>
      <c r="D6" s="8" t="s">
        <v>136</v>
      </c>
      <c r="E6" s="8" t="s">
        <v>140</v>
      </c>
      <c r="F6" s="8" t="s">
        <v>388</v>
      </c>
    </row>
    <row r="7" spans="1:6" x14ac:dyDescent="0.35">
      <c r="A7" s="8">
        <v>105</v>
      </c>
      <c r="B7" s="8" t="s">
        <v>389</v>
      </c>
      <c r="C7" s="8">
        <v>3</v>
      </c>
      <c r="D7" s="8" t="s">
        <v>381</v>
      </c>
      <c r="E7" s="8" t="s">
        <v>390</v>
      </c>
      <c r="F7" s="8" t="s">
        <v>391</v>
      </c>
    </row>
    <row r="8" spans="1:6" x14ac:dyDescent="0.35">
      <c r="A8" s="8">
        <v>106</v>
      </c>
      <c r="B8" s="8" t="s">
        <v>91</v>
      </c>
      <c r="C8" s="8">
        <v>13</v>
      </c>
      <c r="D8" s="8" t="s">
        <v>96</v>
      </c>
      <c r="E8" s="8" t="s">
        <v>122</v>
      </c>
      <c r="F8" s="8" t="s">
        <v>392</v>
      </c>
    </row>
    <row r="9" spans="1:6" x14ac:dyDescent="0.35">
      <c r="A9" s="8">
        <v>107</v>
      </c>
      <c r="B9" s="8" t="s">
        <v>393</v>
      </c>
      <c r="C9" s="8">
        <v>8</v>
      </c>
      <c r="D9" s="8" t="s">
        <v>99</v>
      </c>
      <c r="E9" s="8" t="s">
        <v>394</v>
      </c>
      <c r="F9" s="8" t="s">
        <v>395</v>
      </c>
    </row>
    <row r="10" spans="1:6" x14ac:dyDescent="0.35">
      <c r="A10" s="8">
        <v>108</v>
      </c>
      <c r="B10" s="8" t="s">
        <v>92</v>
      </c>
      <c r="C10" s="8">
        <v>4</v>
      </c>
      <c r="D10" s="8" t="s">
        <v>396</v>
      </c>
      <c r="E10" s="8" t="s">
        <v>397</v>
      </c>
      <c r="F10" s="8" t="s">
        <v>398</v>
      </c>
    </row>
    <row r="11" spans="1:6" x14ac:dyDescent="0.35">
      <c r="A11" s="8">
        <v>109</v>
      </c>
      <c r="B11" s="8" t="s">
        <v>399</v>
      </c>
      <c r="C11" s="8">
        <v>0</v>
      </c>
      <c r="D11" s="8" t="s">
        <v>396</v>
      </c>
      <c r="E11" s="8" t="s">
        <v>400</v>
      </c>
      <c r="F11" s="8" t="s">
        <v>101</v>
      </c>
    </row>
    <row r="12" spans="1:6" x14ac:dyDescent="0.35">
      <c r="A12" s="8">
        <v>110</v>
      </c>
      <c r="B12" s="8" t="s">
        <v>401</v>
      </c>
      <c r="C12" s="8">
        <v>8</v>
      </c>
      <c r="D12" s="8" t="s">
        <v>394</v>
      </c>
      <c r="E12" s="8" t="s">
        <v>379</v>
      </c>
      <c r="F12" s="8" t="s">
        <v>402</v>
      </c>
    </row>
    <row r="13" spans="1:6" x14ac:dyDescent="0.35">
      <c r="A13" s="8">
        <v>111</v>
      </c>
      <c r="B13" s="8" t="s">
        <v>403</v>
      </c>
      <c r="C13" s="8">
        <v>5</v>
      </c>
      <c r="D13" s="8" t="s">
        <v>98</v>
      </c>
      <c r="E13" s="8" t="s">
        <v>404</v>
      </c>
      <c r="F13" s="8" t="s">
        <v>405</v>
      </c>
    </row>
    <row r="14" spans="1:6" x14ac:dyDescent="0.35">
      <c r="A14" s="8">
        <v>112</v>
      </c>
      <c r="B14" s="8" t="s">
        <v>406</v>
      </c>
      <c r="C14" s="8">
        <v>15</v>
      </c>
      <c r="D14" s="8" t="s">
        <v>98</v>
      </c>
      <c r="E14" s="8" t="s">
        <v>394</v>
      </c>
      <c r="F14" s="8" t="s">
        <v>407</v>
      </c>
    </row>
    <row r="15" spans="1:6" x14ac:dyDescent="0.35">
      <c r="A15" s="8">
        <v>113</v>
      </c>
      <c r="B15" s="8" t="s">
        <v>408</v>
      </c>
      <c r="C15" s="8">
        <v>13</v>
      </c>
      <c r="D15" s="8" t="s">
        <v>385</v>
      </c>
      <c r="E15" s="8" t="s">
        <v>409</v>
      </c>
      <c r="F15" s="8" t="s">
        <v>378</v>
      </c>
    </row>
    <row r="16" spans="1:6" x14ac:dyDescent="0.35">
      <c r="A16" s="8">
        <v>114</v>
      </c>
      <c r="B16" s="8" t="s">
        <v>410</v>
      </c>
      <c r="C16" s="8">
        <v>14</v>
      </c>
      <c r="D16" s="8" t="s">
        <v>129</v>
      </c>
      <c r="E16" s="8" t="s">
        <v>122</v>
      </c>
      <c r="F16" s="8" t="s">
        <v>386</v>
      </c>
    </row>
    <row r="17" spans="1:6" x14ac:dyDescent="0.35">
      <c r="A17" s="8">
        <v>115</v>
      </c>
      <c r="B17" s="8" t="s">
        <v>411</v>
      </c>
      <c r="C17" s="8">
        <v>9</v>
      </c>
      <c r="D17" s="8" t="s">
        <v>97</v>
      </c>
      <c r="E17" s="8" t="s">
        <v>412</v>
      </c>
      <c r="F17" s="8" t="s">
        <v>102</v>
      </c>
    </row>
    <row r="18" spans="1:6" x14ac:dyDescent="0.35">
      <c r="A18" s="8">
        <v>116</v>
      </c>
      <c r="B18" s="8" t="s">
        <v>413</v>
      </c>
      <c r="C18" s="8">
        <v>8</v>
      </c>
      <c r="D18" s="8" t="s">
        <v>385</v>
      </c>
      <c r="E18" s="8" t="s">
        <v>140</v>
      </c>
      <c r="F18" s="8" t="s">
        <v>414</v>
      </c>
    </row>
    <row r="19" spans="1:6" x14ac:dyDescent="0.35">
      <c r="A19" s="8">
        <v>117</v>
      </c>
      <c r="B19" s="8" t="s">
        <v>415</v>
      </c>
      <c r="C19" s="8">
        <v>1</v>
      </c>
      <c r="D19" s="8" t="s">
        <v>416</v>
      </c>
      <c r="E19" s="8" t="s">
        <v>382</v>
      </c>
      <c r="F19" s="8" t="s">
        <v>395</v>
      </c>
    </row>
    <row r="20" spans="1:6" x14ac:dyDescent="0.35">
      <c r="A20" s="8">
        <v>118</v>
      </c>
      <c r="B20" s="8" t="s">
        <v>417</v>
      </c>
      <c r="C20" s="8">
        <v>5</v>
      </c>
      <c r="D20" s="8" t="s">
        <v>418</v>
      </c>
      <c r="E20" s="8" t="s">
        <v>400</v>
      </c>
      <c r="F20" s="8" t="s">
        <v>419</v>
      </c>
    </row>
    <row r="21" spans="1:6" x14ac:dyDescent="0.35">
      <c r="A21" s="8">
        <v>119</v>
      </c>
      <c r="B21" s="8" t="s">
        <v>420</v>
      </c>
      <c r="C21" s="8">
        <v>5</v>
      </c>
      <c r="D21" s="8" t="s">
        <v>418</v>
      </c>
      <c r="E21" s="8" t="s">
        <v>140</v>
      </c>
      <c r="F21" s="8" t="s">
        <v>388</v>
      </c>
    </row>
    <row r="22" spans="1:6" x14ac:dyDescent="0.35">
      <c r="A22" s="8">
        <v>120</v>
      </c>
      <c r="B22" s="8" t="s">
        <v>421</v>
      </c>
      <c r="C22" s="8">
        <v>13</v>
      </c>
      <c r="D22" s="8" t="s">
        <v>137</v>
      </c>
      <c r="E22" s="8" t="s">
        <v>422</v>
      </c>
      <c r="F22" s="8" t="s">
        <v>407</v>
      </c>
    </row>
    <row r="23" spans="1:6" x14ac:dyDescent="0.35">
      <c r="A23" s="8">
        <v>121</v>
      </c>
      <c r="B23" s="8" t="s">
        <v>423</v>
      </c>
      <c r="C23" s="8">
        <v>9</v>
      </c>
      <c r="D23" s="8" t="s">
        <v>100</v>
      </c>
      <c r="E23" s="8" t="s">
        <v>422</v>
      </c>
      <c r="F23" s="8" t="s">
        <v>392</v>
      </c>
    </row>
    <row r="24" spans="1:6" x14ac:dyDescent="0.35">
      <c r="A24" s="8">
        <v>122</v>
      </c>
      <c r="B24" s="8" t="s">
        <v>424</v>
      </c>
      <c r="C24" s="8">
        <v>3</v>
      </c>
      <c r="D24" s="8" t="s">
        <v>381</v>
      </c>
      <c r="E24" s="8" t="s">
        <v>382</v>
      </c>
      <c r="F24" s="8" t="s">
        <v>402</v>
      </c>
    </row>
    <row r="25" spans="1:6" x14ac:dyDescent="0.35">
      <c r="A25" s="8">
        <v>123</v>
      </c>
      <c r="B25" s="8" t="s">
        <v>425</v>
      </c>
      <c r="C25" s="8">
        <v>13</v>
      </c>
      <c r="D25" s="8" t="s">
        <v>377</v>
      </c>
      <c r="E25" s="8" t="s">
        <v>426</v>
      </c>
      <c r="F25" s="8" t="s">
        <v>101</v>
      </c>
    </row>
    <row r="26" spans="1:6" x14ac:dyDescent="0.35">
      <c r="A26" s="8">
        <v>124</v>
      </c>
      <c r="B26" s="8" t="s">
        <v>427</v>
      </c>
      <c r="C26" s="8">
        <v>7</v>
      </c>
      <c r="D26" s="8" t="s">
        <v>99</v>
      </c>
      <c r="E26" s="8" t="s">
        <v>409</v>
      </c>
      <c r="F26" s="8" t="s">
        <v>386</v>
      </c>
    </row>
    <row r="27" spans="1:6" x14ac:dyDescent="0.35">
      <c r="A27" s="8">
        <v>125</v>
      </c>
      <c r="B27" s="8" t="s">
        <v>428</v>
      </c>
      <c r="C27" s="8">
        <v>13</v>
      </c>
      <c r="D27" s="8" t="s">
        <v>394</v>
      </c>
      <c r="E27" s="8" t="s">
        <v>400</v>
      </c>
      <c r="F27" s="8" t="s">
        <v>395</v>
      </c>
    </row>
    <row r="28" spans="1:6" x14ac:dyDescent="0.35">
      <c r="A28" s="8">
        <v>126</v>
      </c>
      <c r="B28" s="8" t="s">
        <v>429</v>
      </c>
      <c r="C28" s="8">
        <v>11</v>
      </c>
      <c r="D28" s="8" t="s">
        <v>96</v>
      </c>
      <c r="E28" s="8" t="s">
        <v>394</v>
      </c>
      <c r="F28" s="8" t="s">
        <v>405</v>
      </c>
    </row>
    <row r="29" spans="1:6" x14ac:dyDescent="0.35">
      <c r="A29" s="8">
        <v>127</v>
      </c>
      <c r="B29" s="8" t="s">
        <v>430</v>
      </c>
      <c r="C29" s="8">
        <v>5</v>
      </c>
      <c r="D29" s="8" t="s">
        <v>97</v>
      </c>
      <c r="E29" s="8" t="s">
        <v>431</v>
      </c>
      <c r="F29" s="8" t="s">
        <v>407</v>
      </c>
    </row>
    <row r="30" spans="1:6" x14ac:dyDescent="0.35">
      <c r="A30" s="8">
        <v>128</v>
      </c>
      <c r="B30" s="8" t="s">
        <v>432</v>
      </c>
      <c r="C30" s="8">
        <v>1</v>
      </c>
      <c r="D30" s="8" t="s">
        <v>129</v>
      </c>
      <c r="E30" s="8" t="s">
        <v>404</v>
      </c>
      <c r="F30" s="8" t="s">
        <v>102</v>
      </c>
    </row>
    <row r="31" spans="1:6" x14ac:dyDescent="0.35">
      <c r="A31" s="8">
        <v>129</v>
      </c>
      <c r="B31" s="8" t="s">
        <v>433</v>
      </c>
      <c r="C31" s="8">
        <v>7</v>
      </c>
      <c r="D31" s="8" t="s">
        <v>434</v>
      </c>
      <c r="E31" s="8" t="s">
        <v>379</v>
      </c>
      <c r="F31" s="8" t="s">
        <v>101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98AD-F29D-491B-AB28-B69E832CB539}">
  <dimension ref="A1:D91"/>
  <sheetViews>
    <sheetView workbookViewId="0">
      <selection activeCell="A2" sqref="A2:D91"/>
    </sheetView>
  </sheetViews>
  <sheetFormatPr defaultRowHeight="14.5" x14ac:dyDescent="0.35"/>
  <cols>
    <col min="2" max="2" width="17" customWidth="1"/>
    <col min="4" max="4" width="11.81640625" bestFit="1" customWidth="1"/>
  </cols>
  <sheetData>
    <row r="1" spans="1:4" x14ac:dyDescent="0.35">
      <c r="A1" t="s">
        <v>103</v>
      </c>
      <c r="B1" t="s">
        <v>104</v>
      </c>
      <c r="C1" t="s">
        <v>105</v>
      </c>
      <c r="D1" t="s">
        <v>106</v>
      </c>
    </row>
    <row r="2" spans="1:4" x14ac:dyDescent="0.35">
      <c r="A2" s="8">
        <v>300</v>
      </c>
      <c r="B2" s="8" t="s">
        <v>107</v>
      </c>
      <c r="C2" s="8">
        <v>100</v>
      </c>
      <c r="D2" s="9">
        <v>45309</v>
      </c>
    </row>
    <row r="3" spans="1:4" x14ac:dyDescent="0.35">
      <c r="A3" s="8">
        <v>301</v>
      </c>
      <c r="B3" s="8" t="s">
        <v>108</v>
      </c>
      <c r="C3" s="8">
        <v>100</v>
      </c>
      <c r="D3" s="9">
        <v>45309</v>
      </c>
    </row>
    <row r="4" spans="1:4" x14ac:dyDescent="0.35">
      <c r="A4" s="8">
        <v>302</v>
      </c>
      <c r="B4" s="8" t="s">
        <v>435</v>
      </c>
      <c r="C4" s="8">
        <v>100</v>
      </c>
      <c r="D4" s="9">
        <v>45309</v>
      </c>
    </row>
    <row r="5" spans="1:4" x14ac:dyDescent="0.35">
      <c r="A5" s="8">
        <v>303</v>
      </c>
      <c r="B5" s="8" t="s">
        <v>109</v>
      </c>
      <c r="C5" s="8">
        <v>101</v>
      </c>
      <c r="D5" s="9">
        <v>45329</v>
      </c>
    </row>
    <row r="6" spans="1:4" x14ac:dyDescent="0.35">
      <c r="A6" s="8">
        <v>304</v>
      </c>
      <c r="B6" s="8" t="s">
        <v>110</v>
      </c>
      <c r="C6" s="8">
        <v>101</v>
      </c>
      <c r="D6" s="9">
        <v>45329</v>
      </c>
    </row>
    <row r="7" spans="1:4" x14ac:dyDescent="0.35">
      <c r="A7" s="8">
        <v>305</v>
      </c>
      <c r="B7" s="8" t="s">
        <v>436</v>
      </c>
      <c r="C7" s="8">
        <v>101</v>
      </c>
      <c r="D7" s="9">
        <v>45329</v>
      </c>
    </row>
    <row r="8" spans="1:4" x14ac:dyDescent="0.35">
      <c r="A8" s="8">
        <v>306</v>
      </c>
      <c r="B8" s="8" t="s">
        <v>111</v>
      </c>
      <c r="C8" s="8">
        <v>102</v>
      </c>
      <c r="D8" s="9">
        <v>45347</v>
      </c>
    </row>
    <row r="9" spans="1:4" x14ac:dyDescent="0.35">
      <c r="A9" s="8">
        <v>307</v>
      </c>
      <c r="B9" s="8" t="s">
        <v>112</v>
      </c>
      <c r="C9" s="8">
        <v>102</v>
      </c>
      <c r="D9" s="9">
        <v>45347</v>
      </c>
    </row>
    <row r="10" spans="1:4" x14ac:dyDescent="0.35">
      <c r="A10" s="8">
        <v>308</v>
      </c>
      <c r="B10" s="8" t="s">
        <v>113</v>
      </c>
      <c r="C10" s="8">
        <v>102</v>
      </c>
      <c r="D10" s="9">
        <v>45347</v>
      </c>
    </row>
    <row r="11" spans="1:4" x14ac:dyDescent="0.35">
      <c r="A11" s="8">
        <v>309</v>
      </c>
      <c r="B11" s="8" t="s">
        <v>114</v>
      </c>
      <c r="C11" s="8">
        <v>103</v>
      </c>
      <c r="D11" s="9">
        <v>45365</v>
      </c>
    </row>
    <row r="12" spans="1:4" x14ac:dyDescent="0.35">
      <c r="A12" s="8">
        <v>310</v>
      </c>
      <c r="B12" s="8" t="s">
        <v>115</v>
      </c>
      <c r="C12" s="8">
        <v>103</v>
      </c>
      <c r="D12" s="9">
        <v>45365</v>
      </c>
    </row>
    <row r="13" spans="1:4" x14ac:dyDescent="0.35">
      <c r="A13" s="8">
        <v>311</v>
      </c>
      <c r="B13" s="8" t="s">
        <v>116</v>
      </c>
      <c r="C13" s="8">
        <v>103</v>
      </c>
      <c r="D13" s="9">
        <v>45365</v>
      </c>
    </row>
    <row r="14" spans="1:4" x14ac:dyDescent="0.35">
      <c r="A14" s="8">
        <v>312</v>
      </c>
      <c r="B14" s="8" t="s">
        <v>117</v>
      </c>
      <c r="C14" s="8">
        <v>104</v>
      </c>
      <c r="D14" s="9">
        <v>45380</v>
      </c>
    </row>
    <row r="15" spans="1:4" x14ac:dyDescent="0.35">
      <c r="A15" s="8">
        <v>313</v>
      </c>
      <c r="B15" s="8" t="s">
        <v>118</v>
      </c>
      <c r="C15" s="8">
        <v>104</v>
      </c>
      <c r="D15" s="9">
        <v>45380</v>
      </c>
    </row>
    <row r="16" spans="1:4" x14ac:dyDescent="0.35">
      <c r="A16" s="8">
        <v>314</v>
      </c>
      <c r="B16" s="8" t="s">
        <v>119</v>
      </c>
      <c r="C16" s="8">
        <v>104</v>
      </c>
      <c r="D16" s="9">
        <v>45380</v>
      </c>
    </row>
    <row r="17" spans="1:4" x14ac:dyDescent="0.35">
      <c r="A17" s="8">
        <v>315</v>
      </c>
      <c r="B17" s="8" t="s">
        <v>437</v>
      </c>
      <c r="C17" s="8">
        <v>105</v>
      </c>
      <c r="D17" s="9">
        <v>45393</v>
      </c>
    </row>
    <row r="18" spans="1:4" x14ac:dyDescent="0.35">
      <c r="A18" s="8">
        <v>316</v>
      </c>
      <c r="B18" s="8" t="s">
        <v>120</v>
      </c>
      <c r="C18" s="8">
        <v>105</v>
      </c>
      <c r="D18" s="9">
        <v>45393</v>
      </c>
    </row>
    <row r="19" spans="1:4" x14ac:dyDescent="0.35">
      <c r="A19" s="8">
        <v>317</v>
      </c>
      <c r="B19" s="8" t="s">
        <v>121</v>
      </c>
      <c r="C19" s="8">
        <v>105</v>
      </c>
      <c r="D19" s="9">
        <v>45393</v>
      </c>
    </row>
    <row r="20" spans="1:4" x14ac:dyDescent="0.35">
      <c r="A20" s="8">
        <v>318</v>
      </c>
      <c r="B20" s="8" t="s">
        <v>122</v>
      </c>
      <c r="C20" s="8">
        <v>106</v>
      </c>
      <c r="D20" s="9">
        <v>45409</v>
      </c>
    </row>
    <row r="21" spans="1:4" x14ac:dyDescent="0.35">
      <c r="A21" s="8">
        <v>319</v>
      </c>
      <c r="B21" s="8" t="s">
        <v>123</v>
      </c>
      <c r="C21" s="8">
        <v>106</v>
      </c>
      <c r="D21" s="9">
        <v>45409</v>
      </c>
    </row>
    <row r="22" spans="1:4" x14ac:dyDescent="0.35">
      <c r="A22" s="8">
        <v>320</v>
      </c>
      <c r="B22" s="8" t="s">
        <v>124</v>
      </c>
      <c r="C22" s="8">
        <v>106</v>
      </c>
      <c r="D22" s="9">
        <v>45409</v>
      </c>
    </row>
    <row r="23" spans="1:4" x14ac:dyDescent="0.35">
      <c r="A23" s="8">
        <v>321</v>
      </c>
      <c r="B23" s="8" t="s">
        <v>125</v>
      </c>
      <c r="C23" s="8">
        <v>107</v>
      </c>
      <c r="D23" s="9">
        <v>45421</v>
      </c>
    </row>
    <row r="24" spans="1:4" x14ac:dyDescent="0.35">
      <c r="A24" s="8">
        <v>322</v>
      </c>
      <c r="B24" s="8" t="s">
        <v>126</v>
      </c>
      <c r="C24" s="8">
        <v>107</v>
      </c>
      <c r="D24" s="9">
        <v>45421</v>
      </c>
    </row>
    <row r="25" spans="1:4" x14ac:dyDescent="0.35">
      <c r="A25" s="8">
        <v>323</v>
      </c>
      <c r="B25" s="8" t="s">
        <v>127</v>
      </c>
      <c r="C25" s="8">
        <v>107</v>
      </c>
      <c r="D25" s="9">
        <v>45421</v>
      </c>
    </row>
    <row r="26" spans="1:4" x14ac:dyDescent="0.35">
      <c r="A26" s="8">
        <v>324</v>
      </c>
      <c r="B26" s="8" t="s">
        <v>128</v>
      </c>
      <c r="C26" s="8">
        <v>108</v>
      </c>
      <c r="D26" s="9">
        <v>45436</v>
      </c>
    </row>
    <row r="27" spans="1:4" x14ac:dyDescent="0.35">
      <c r="A27" s="8">
        <v>325</v>
      </c>
      <c r="B27" s="8" t="s">
        <v>129</v>
      </c>
      <c r="C27" s="8">
        <v>108</v>
      </c>
      <c r="D27" s="9">
        <v>45436</v>
      </c>
    </row>
    <row r="28" spans="1:4" x14ac:dyDescent="0.35">
      <c r="A28" s="8">
        <v>326</v>
      </c>
      <c r="B28" s="8" t="s">
        <v>130</v>
      </c>
      <c r="C28" s="8">
        <v>108</v>
      </c>
      <c r="D28" s="9">
        <v>45436</v>
      </c>
    </row>
    <row r="29" spans="1:4" x14ac:dyDescent="0.35">
      <c r="A29" s="8">
        <v>327</v>
      </c>
      <c r="B29" s="8" t="s">
        <v>131</v>
      </c>
      <c r="C29" s="8">
        <v>109</v>
      </c>
      <c r="D29" s="9">
        <v>45456</v>
      </c>
    </row>
    <row r="30" spans="1:4" x14ac:dyDescent="0.35">
      <c r="A30" s="8">
        <v>328</v>
      </c>
      <c r="B30" s="8" t="s">
        <v>132</v>
      </c>
      <c r="C30" s="8">
        <v>109</v>
      </c>
      <c r="D30" s="9">
        <v>45456</v>
      </c>
    </row>
    <row r="31" spans="1:4" x14ac:dyDescent="0.35">
      <c r="A31" s="8">
        <v>329</v>
      </c>
      <c r="B31" s="8" t="s">
        <v>133</v>
      </c>
      <c r="C31" s="8">
        <v>109</v>
      </c>
      <c r="D31" s="9">
        <v>45456</v>
      </c>
    </row>
    <row r="32" spans="1:4" x14ac:dyDescent="0.35">
      <c r="A32" s="8">
        <v>330</v>
      </c>
      <c r="B32" s="8" t="s">
        <v>134</v>
      </c>
      <c r="C32" s="8">
        <v>110</v>
      </c>
      <c r="D32" s="9">
        <v>45474</v>
      </c>
    </row>
    <row r="33" spans="1:4" x14ac:dyDescent="0.35">
      <c r="A33" s="8">
        <v>331</v>
      </c>
      <c r="B33" s="8" t="s">
        <v>135</v>
      </c>
      <c r="C33" s="8">
        <v>110</v>
      </c>
      <c r="D33" s="9">
        <v>45474</v>
      </c>
    </row>
    <row r="34" spans="1:4" x14ac:dyDescent="0.35">
      <c r="A34" s="8">
        <v>332</v>
      </c>
      <c r="B34" s="8" t="s">
        <v>136</v>
      </c>
      <c r="C34" s="8">
        <v>110</v>
      </c>
      <c r="D34" s="9">
        <v>45474</v>
      </c>
    </row>
    <row r="35" spans="1:4" x14ac:dyDescent="0.35">
      <c r="A35" s="8">
        <v>333</v>
      </c>
      <c r="B35" s="8" t="s">
        <v>137</v>
      </c>
      <c r="C35" s="8">
        <v>111</v>
      </c>
      <c r="D35" s="9">
        <v>45495</v>
      </c>
    </row>
    <row r="36" spans="1:4" x14ac:dyDescent="0.35">
      <c r="A36" s="8">
        <v>334</v>
      </c>
      <c r="B36" s="8" t="s">
        <v>138</v>
      </c>
      <c r="C36" s="8">
        <v>111</v>
      </c>
      <c r="D36" s="9">
        <v>45495</v>
      </c>
    </row>
    <row r="37" spans="1:4" x14ac:dyDescent="0.35">
      <c r="A37" s="8">
        <v>335</v>
      </c>
      <c r="B37" s="8" t="s">
        <v>139</v>
      </c>
      <c r="C37" s="8">
        <v>111</v>
      </c>
      <c r="D37" s="9">
        <v>45495</v>
      </c>
    </row>
    <row r="38" spans="1:4" x14ac:dyDescent="0.35">
      <c r="A38" s="8">
        <v>336</v>
      </c>
      <c r="B38" s="8" t="s">
        <v>140</v>
      </c>
      <c r="C38" s="8">
        <v>112</v>
      </c>
      <c r="D38" s="9">
        <v>45514</v>
      </c>
    </row>
    <row r="39" spans="1:4" x14ac:dyDescent="0.35">
      <c r="A39" s="8">
        <v>337</v>
      </c>
      <c r="B39" s="8" t="s">
        <v>141</v>
      </c>
      <c r="C39" s="8">
        <v>112</v>
      </c>
      <c r="D39" s="9">
        <v>45514</v>
      </c>
    </row>
    <row r="40" spans="1:4" x14ac:dyDescent="0.35">
      <c r="A40" s="8">
        <v>338</v>
      </c>
      <c r="B40" s="8" t="s">
        <v>142</v>
      </c>
      <c r="C40" s="8">
        <v>112</v>
      </c>
      <c r="D40" s="9">
        <v>45514</v>
      </c>
    </row>
    <row r="41" spans="1:4" x14ac:dyDescent="0.35">
      <c r="A41" s="8">
        <v>339</v>
      </c>
      <c r="B41" s="8" t="s">
        <v>143</v>
      </c>
      <c r="C41" s="8">
        <v>113</v>
      </c>
      <c r="D41" s="9">
        <v>45533</v>
      </c>
    </row>
    <row r="42" spans="1:4" x14ac:dyDescent="0.35">
      <c r="A42" s="8">
        <v>340</v>
      </c>
      <c r="B42" s="8" t="s">
        <v>144</v>
      </c>
      <c r="C42" s="8">
        <v>113</v>
      </c>
      <c r="D42" s="9">
        <v>45533</v>
      </c>
    </row>
    <row r="43" spans="1:4" x14ac:dyDescent="0.35">
      <c r="A43" s="8">
        <v>341</v>
      </c>
      <c r="B43" s="8" t="s">
        <v>145</v>
      </c>
      <c r="C43" s="8">
        <v>113</v>
      </c>
      <c r="D43" s="9">
        <v>45533</v>
      </c>
    </row>
    <row r="44" spans="1:4" x14ac:dyDescent="0.35">
      <c r="A44" s="8">
        <v>342</v>
      </c>
      <c r="B44" s="8" t="s">
        <v>146</v>
      </c>
      <c r="C44" s="8">
        <v>114</v>
      </c>
      <c r="D44" s="9">
        <v>45551</v>
      </c>
    </row>
    <row r="45" spans="1:4" x14ac:dyDescent="0.35">
      <c r="A45" s="8">
        <v>343</v>
      </c>
      <c r="B45" s="8" t="s">
        <v>147</v>
      </c>
      <c r="C45" s="8">
        <v>114</v>
      </c>
      <c r="D45" s="9">
        <v>45551</v>
      </c>
    </row>
    <row r="46" spans="1:4" x14ac:dyDescent="0.35">
      <c r="A46" s="8">
        <v>344</v>
      </c>
      <c r="B46" s="8" t="s">
        <v>148</v>
      </c>
      <c r="C46" s="8">
        <v>114</v>
      </c>
      <c r="D46" s="9">
        <v>45551</v>
      </c>
    </row>
    <row r="47" spans="1:4" x14ac:dyDescent="0.35">
      <c r="A47" s="8">
        <v>345</v>
      </c>
      <c r="B47" s="8" t="s">
        <v>434</v>
      </c>
      <c r="C47" s="8">
        <v>115</v>
      </c>
      <c r="D47" s="9">
        <v>45569</v>
      </c>
    </row>
    <row r="48" spans="1:4" x14ac:dyDescent="0.35">
      <c r="A48" s="8">
        <v>346</v>
      </c>
      <c r="B48" s="8" t="s">
        <v>438</v>
      </c>
      <c r="C48" s="8">
        <v>115</v>
      </c>
      <c r="D48" s="9">
        <v>45569</v>
      </c>
    </row>
    <row r="49" spans="1:4" x14ac:dyDescent="0.35">
      <c r="A49" s="8">
        <v>347</v>
      </c>
      <c r="B49" s="8" t="s">
        <v>396</v>
      </c>
      <c r="C49" s="8">
        <v>115</v>
      </c>
      <c r="D49" s="9">
        <v>45569</v>
      </c>
    </row>
    <row r="50" spans="1:4" x14ac:dyDescent="0.35">
      <c r="A50" s="8">
        <v>348</v>
      </c>
      <c r="B50" s="8" t="s">
        <v>394</v>
      </c>
      <c r="C50" s="8">
        <v>116</v>
      </c>
      <c r="D50" s="9">
        <v>45593</v>
      </c>
    </row>
    <row r="51" spans="1:4" x14ac:dyDescent="0.35">
      <c r="A51" s="8">
        <v>349</v>
      </c>
      <c r="B51" s="8" t="s">
        <v>439</v>
      </c>
      <c r="C51" s="8">
        <v>116</v>
      </c>
      <c r="D51" s="9">
        <v>45593</v>
      </c>
    </row>
    <row r="52" spans="1:4" x14ac:dyDescent="0.35">
      <c r="A52" s="8">
        <v>350</v>
      </c>
      <c r="B52" s="8" t="s">
        <v>440</v>
      </c>
      <c r="C52" s="8">
        <v>116</v>
      </c>
      <c r="D52" s="9">
        <v>45593</v>
      </c>
    </row>
    <row r="53" spans="1:4" x14ac:dyDescent="0.35">
      <c r="A53" s="8">
        <v>351</v>
      </c>
      <c r="B53" s="8" t="s">
        <v>441</v>
      </c>
      <c r="C53" s="8">
        <v>117</v>
      </c>
      <c r="D53" s="9">
        <v>45611</v>
      </c>
    </row>
    <row r="54" spans="1:4" x14ac:dyDescent="0.35">
      <c r="A54" s="8">
        <v>352</v>
      </c>
      <c r="B54" s="8" t="s">
        <v>442</v>
      </c>
      <c r="C54" s="8">
        <v>117</v>
      </c>
      <c r="D54" s="9">
        <v>45611</v>
      </c>
    </row>
    <row r="55" spans="1:4" x14ac:dyDescent="0.35">
      <c r="A55" s="8">
        <v>353</v>
      </c>
      <c r="B55" s="8" t="s">
        <v>381</v>
      </c>
      <c r="C55" s="8">
        <v>117</v>
      </c>
      <c r="D55" s="9">
        <v>45611</v>
      </c>
    </row>
    <row r="56" spans="1:4" x14ac:dyDescent="0.35">
      <c r="A56" s="8">
        <v>354</v>
      </c>
      <c r="B56" s="8" t="s">
        <v>377</v>
      </c>
      <c r="C56" s="8">
        <v>118</v>
      </c>
      <c r="D56" s="9">
        <v>45629</v>
      </c>
    </row>
    <row r="57" spans="1:4" x14ac:dyDescent="0.35">
      <c r="A57" s="8">
        <v>355</v>
      </c>
      <c r="B57" s="8" t="s">
        <v>443</v>
      </c>
      <c r="C57" s="8">
        <v>118</v>
      </c>
      <c r="D57" s="9">
        <v>45629</v>
      </c>
    </row>
    <row r="58" spans="1:4" x14ac:dyDescent="0.35">
      <c r="A58" s="8">
        <v>356</v>
      </c>
      <c r="B58" s="8" t="s">
        <v>444</v>
      </c>
      <c r="C58" s="8">
        <v>118</v>
      </c>
      <c r="D58" s="9">
        <v>45629</v>
      </c>
    </row>
    <row r="59" spans="1:4" x14ac:dyDescent="0.35">
      <c r="A59" s="8">
        <v>357</v>
      </c>
      <c r="B59" s="8" t="s">
        <v>445</v>
      </c>
      <c r="C59" s="8">
        <v>119</v>
      </c>
      <c r="D59" s="9">
        <v>45647</v>
      </c>
    </row>
    <row r="60" spans="1:4" x14ac:dyDescent="0.35">
      <c r="A60" s="8">
        <v>358</v>
      </c>
      <c r="B60" s="8" t="s">
        <v>446</v>
      </c>
      <c r="C60" s="8">
        <v>119</v>
      </c>
      <c r="D60" s="9">
        <v>45647</v>
      </c>
    </row>
    <row r="61" spans="1:4" x14ac:dyDescent="0.35">
      <c r="A61" s="8">
        <v>359</v>
      </c>
      <c r="B61" s="8" t="s">
        <v>447</v>
      </c>
      <c r="C61" s="8">
        <v>119</v>
      </c>
      <c r="D61" s="9">
        <v>45647</v>
      </c>
    </row>
    <row r="62" spans="1:4" x14ac:dyDescent="0.35">
      <c r="A62" s="8">
        <v>360</v>
      </c>
      <c r="B62" s="8" t="s">
        <v>431</v>
      </c>
      <c r="C62" s="8">
        <v>120</v>
      </c>
      <c r="D62" s="9">
        <v>45666</v>
      </c>
    </row>
    <row r="63" spans="1:4" x14ac:dyDescent="0.35">
      <c r="A63" s="8">
        <v>361</v>
      </c>
      <c r="B63" s="8" t="s">
        <v>448</v>
      </c>
      <c r="C63" s="8">
        <v>120</v>
      </c>
      <c r="D63" s="9">
        <v>45666</v>
      </c>
    </row>
    <row r="64" spans="1:4" x14ac:dyDescent="0.35">
      <c r="A64" s="8">
        <v>362</v>
      </c>
      <c r="B64" s="8" t="s">
        <v>449</v>
      </c>
      <c r="C64" s="8">
        <v>120</v>
      </c>
      <c r="D64" s="9">
        <v>45666</v>
      </c>
    </row>
    <row r="65" spans="1:4" x14ac:dyDescent="0.35">
      <c r="A65" s="8">
        <v>363</v>
      </c>
      <c r="B65" s="8" t="s">
        <v>450</v>
      </c>
      <c r="C65" s="8">
        <v>121</v>
      </c>
      <c r="D65" s="9">
        <v>45687</v>
      </c>
    </row>
    <row r="66" spans="1:4" x14ac:dyDescent="0.35">
      <c r="A66" s="8">
        <v>364</v>
      </c>
      <c r="B66" s="8" t="s">
        <v>451</v>
      </c>
      <c r="C66" s="8">
        <v>121</v>
      </c>
      <c r="D66" s="9">
        <v>45687</v>
      </c>
    </row>
    <row r="67" spans="1:4" x14ac:dyDescent="0.35">
      <c r="A67" s="8">
        <v>365</v>
      </c>
      <c r="B67" s="8" t="s">
        <v>452</v>
      </c>
      <c r="C67" s="8">
        <v>121</v>
      </c>
      <c r="D67" s="9">
        <v>45687</v>
      </c>
    </row>
    <row r="68" spans="1:4" x14ac:dyDescent="0.35">
      <c r="A68" s="8">
        <v>366</v>
      </c>
      <c r="B68" s="8" t="s">
        <v>404</v>
      </c>
      <c r="C68" s="8">
        <v>122</v>
      </c>
      <c r="D68" s="9">
        <v>45706</v>
      </c>
    </row>
    <row r="69" spans="1:4" x14ac:dyDescent="0.35">
      <c r="A69" s="8">
        <v>367</v>
      </c>
      <c r="B69" s="8" t="s">
        <v>453</v>
      </c>
      <c r="C69" s="8">
        <v>122</v>
      </c>
      <c r="D69" s="9">
        <v>45706</v>
      </c>
    </row>
    <row r="70" spans="1:4" x14ac:dyDescent="0.35">
      <c r="A70" s="8">
        <v>368</v>
      </c>
      <c r="B70" s="8" t="s">
        <v>454</v>
      </c>
      <c r="C70" s="8">
        <v>122</v>
      </c>
      <c r="D70" s="9">
        <v>45706</v>
      </c>
    </row>
    <row r="71" spans="1:4" x14ac:dyDescent="0.35">
      <c r="A71" s="8">
        <v>369</v>
      </c>
      <c r="B71" s="8" t="s">
        <v>455</v>
      </c>
      <c r="C71" s="8">
        <v>123</v>
      </c>
      <c r="D71" s="9">
        <v>45723</v>
      </c>
    </row>
    <row r="72" spans="1:4" x14ac:dyDescent="0.35">
      <c r="A72" s="8">
        <v>370</v>
      </c>
      <c r="B72" s="8" t="s">
        <v>456</v>
      </c>
      <c r="C72" s="8">
        <v>123</v>
      </c>
      <c r="D72" s="9">
        <v>45723</v>
      </c>
    </row>
    <row r="73" spans="1:4" x14ac:dyDescent="0.35">
      <c r="A73" s="8">
        <v>371</v>
      </c>
      <c r="B73" s="8" t="s">
        <v>457</v>
      </c>
      <c r="C73" s="8">
        <v>123</v>
      </c>
      <c r="D73" s="9">
        <v>45723</v>
      </c>
    </row>
    <row r="74" spans="1:4" x14ac:dyDescent="0.35">
      <c r="A74" s="8">
        <v>372</v>
      </c>
      <c r="B74" s="8" t="s">
        <v>458</v>
      </c>
      <c r="C74" s="8">
        <v>124</v>
      </c>
      <c r="D74" s="9">
        <v>45742</v>
      </c>
    </row>
    <row r="75" spans="1:4" x14ac:dyDescent="0.35">
      <c r="A75" s="8">
        <v>373</v>
      </c>
      <c r="B75" s="8" t="s">
        <v>426</v>
      </c>
      <c r="C75" s="8">
        <v>124</v>
      </c>
      <c r="D75" s="9">
        <v>45742</v>
      </c>
    </row>
    <row r="76" spans="1:4" x14ac:dyDescent="0.35">
      <c r="A76" s="8">
        <v>374</v>
      </c>
      <c r="B76" s="8" t="s">
        <v>459</v>
      </c>
      <c r="C76" s="8">
        <v>124</v>
      </c>
      <c r="D76" s="9">
        <v>45742</v>
      </c>
    </row>
    <row r="77" spans="1:4" x14ac:dyDescent="0.35">
      <c r="A77" s="8">
        <v>375</v>
      </c>
      <c r="B77" s="8" t="s">
        <v>409</v>
      </c>
      <c r="C77" s="8">
        <v>125</v>
      </c>
      <c r="D77" s="9">
        <v>45759</v>
      </c>
    </row>
    <row r="78" spans="1:4" x14ac:dyDescent="0.35">
      <c r="A78" s="8">
        <v>376</v>
      </c>
      <c r="B78" s="8" t="s">
        <v>460</v>
      </c>
      <c r="C78" s="8">
        <v>125</v>
      </c>
      <c r="D78" s="9">
        <v>45759</v>
      </c>
    </row>
    <row r="79" spans="1:4" x14ac:dyDescent="0.35">
      <c r="A79" s="8">
        <v>377</v>
      </c>
      <c r="B79" s="8" t="s">
        <v>461</v>
      </c>
      <c r="C79" s="8">
        <v>125</v>
      </c>
      <c r="D79" s="9">
        <v>45759</v>
      </c>
    </row>
    <row r="80" spans="1:4" x14ac:dyDescent="0.35">
      <c r="A80" s="8">
        <v>378</v>
      </c>
      <c r="B80" s="8" t="s">
        <v>462</v>
      </c>
      <c r="C80" s="8">
        <v>126</v>
      </c>
      <c r="D80" s="9">
        <v>45778</v>
      </c>
    </row>
    <row r="81" spans="1:4" x14ac:dyDescent="0.35">
      <c r="A81" s="8">
        <v>379</v>
      </c>
      <c r="B81" s="8" t="s">
        <v>463</v>
      </c>
      <c r="C81" s="8">
        <v>126</v>
      </c>
      <c r="D81" s="9">
        <v>45778</v>
      </c>
    </row>
    <row r="82" spans="1:4" x14ac:dyDescent="0.35">
      <c r="A82" s="8">
        <v>380</v>
      </c>
      <c r="B82" s="8" t="s">
        <v>464</v>
      </c>
      <c r="C82" s="8">
        <v>126</v>
      </c>
      <c r="D82" s="9">
        <v>45778</v>
      </c>
    </row>
    <row r="83" spans="1:4" x14ac:dyDescent="0.35">
      <c r="A83" s="8">
        <v>381</v>
      </c>
      <c r="B83" s="8" t="s">
        <v>465</v>
      </c>
      <c r="C83" s="8">
        <v>127</v>
      </c>
      <c r="D83" s="9">
        <v>45796</v>
      </c>
    </row>
    <row r="84" spans="1:4" x14ac:dyDescent="0.35">
      <c r="A84" s="8">
        <v>382</v>
      </c>
      <c r="B84" s="8" t="s">
        <v>402</v>
      </c>
      <c r="C84" s="8">
        <v>127</v>
      </c>
      <c r="D84" s="9">
        <v>45796</v>
      </c>
    </row>
    <row r="85" spans="1:4" x14ac:dyDescent="0.35">
      <c r="A85" s="8">
        <v>383</v>
      </c>
      <c r="B85" s="8" t="s">
        <v>466</v>
      </c>
      <c r="C85" s="8">
        <v>127</v>
      </c>
      <c r="D85" s="9">
        <v>45796</v>
      </c>
    </row>
    <row r="86" spans="1:4" x14ac:dyDescent="0.35">
      <c r="A86" s="8">
        <v>384</v>
      </c>
      <c r="B86" s="8" t="s">
        <v>467</v>
      </c>
      <c r="C86" s="8">
        <v>128</v>
      </c>
      <c r="D86" s="9">
        <v>45816</v>
      </c>
    </row>
    <row r="87" spans="1:4" x14ac:dyDescent="0.35">
      <c r="A87" s="8">
        <v>385</v>
      </c>
      <c r="B87" s="8" t="s">
        <v>468</v>
      </c>
      <c r="C87" s="8">
        <v>128</v>
      </c>
      <c r="D87" s="9">
        <v>45816</v>
      </c>
    </row>
    <row r="88" spans="1:4" x14ac:dyDescent="0.35">
      <c r="A88" s="8">
        <v>386</v>
      </c>
      <c r="B88" s="8" t="s">
        <v>469</v>
      </c>
      <c r="C88" s="8">
        <v>128</v>
      </c>
      <c r="D88" s="9">
        <v>45816</v>
      </c>
    </row>
    <row r="89" spans="1:4" x14ac:dyDescent="0.35">
      <c r="A89" s="8">
        <v>387</v>
      </c>
      <c r="B89" s="8" t="s">
        <v>470</v>
      </c>
      <c r="C89" s="8">
        <v>129</v>
      </c>
      <c r="D89" s="9">
        <v>45835</v>
      </c>
    </row>
    <row r="90" spans="1:4" x14ac:dyDescent="0.35">
      <c r="A90" s="8">
        <v>388</v>
      </c>
      <c r="B90" s="8" t="s">
        <v>471</v>
      </c>
      <c r="C90" s="8">
        <v>129</v>
      </c>
      <c r="D90" s="9">
        <v>45835</v>
      </c>
    </row>
    <row r="91" spans="1:4" x14ac:dyDescent="0.35">
      <c r="A91" s="8">
        <v>389</v>
      </c>
      <c r="B91" s="8" t="s">
        <v>107</v>
      </c>
      <c r="C91" s="8">
        <v>129</v>
      </c>
      <c r="D91" s="9">
        <v>45835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Creators</vt:lpstr>
      <vt:lpstr>brand</vt:lpstr>
      <vt:lpstr>backend</vt:lpstr>
      <vt:lpstr>ESPORTSS</vt:lpstr>
      <vt:lpstr>lineup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rajput</dc:creator>
  <cp:lastModifiedBy>tejas rajput</cp:lastModifiedBy>
  <dcterms:created xsi:type="dcterms:W3CDTF">2026-06-25T13:38:11Z</dcterms:created>
  <dcterms:modified xsi:type="dcterms:W3CDTF">2026-07-02T08:14:10Z</dcterms:modified>
</cp:coreProperties>
</file>