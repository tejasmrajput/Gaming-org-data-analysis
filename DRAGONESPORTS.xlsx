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tejas\Desktop\Thumbnail desing\project\"/>
    </mc:Choice>
  </mc:AlternateContent>
  <xr:revisionPtr revIDLastSave="0" documentId="8_{2C7FD892-B7E3-4B3C-8216-65A80B9B9D42}" xr6:coauthVersionLast="47" xr6:coauthVersionMax="47" xr10:uidLastSave="{00000000-0000-0000-0000-000000000000}"/>
  <bookViews>
    <workbookView xWindow="1060" yWindow="1060" windowWidth="14400" windowHeight="7260" activeTab="1" xr2:uid="{2F7DD3AD-140C-4B14-A256-4D58768F378E}"/>
  </bookViews>
  <sheets>
    <sheet name="Pivot table" sheetId="8" r:id="rId1"/>
    <sheet name="Creators" sheetId="1" r:id="rId2"/>
    <sheet name="brand" sheetId="2" r:id="rId3"/>
    <sheet name="backend" sheetId="5" r:id="rId4"/>
    <sheet name="ESPORTSS" sheetId="3" r:id="rId5"/>
    <sheet name="lineup" sheetId="4" r:id="rId6"/>
  </sheets>
  <definedNames>
    <definedName name="Slicer_Creator_name">#N/A</definedName>
    <definedName name="Slicer_views">#N/A</definedName>
  </definedNames>
  <calcPr calcId="191029"/>
  <pivotCaches>
    <pivotCache cacheId="0" r:id="rId7"/>
    <pivotCache cacheId="1"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2" i="1" l="1"/>
  <c r="I2" i="1"/>
  <c r="I3" i="1"/>
  <c r="I4" i="1"/>
  <c r="I5" i="1"/>
  <c r="I6" i="1"/>
  <c r="I7" i="1"/>
  <c r="I8" i="1"/>
  <c r="I9" i="1"/>
  <c r="I10" i="1"/>
  <c r="I11" i="1"/>
  <c r="I12" i="1"/>
  <c r="I13" i="1"/>
  <c r="I14" i="1"/>
  <c r="I15" i="1"/>
  <c r="I16" i="1"/>
  <c r="I17" i="1"/>
  <c r="I18" i="1"/>
  <c r="I19" i="1"/>
  <c r="I20" i="1"/>
  <c r="I21" i="1"/>
  <c r="M14" i="1"/>
  <c r="M13" i="1"/>
  <c r="M12" i="1"/>
  <c r="M9" i="1"/>
  <c r="M8" i="1"/>
</calcChain>
</file>

<file path=xl/sharedStrings.xml><?xml version="1.0" encoding="utf-8"?>
<sst xmlns="http://schemas.openxmlformats.org/spreadsheetml/2006/main" count="250" uniqueCount="225">
  <si>
    <t xml:space="preserve">Creators id </t>
  </si>
  <si>
    <t>Creator name</t>
  </si>
  <si>
    <t>sub count</t>
  </si>
  <si>
    <t>insta id</t>
  </si>
  <si>
    <t xml:space="preserve">Sarika </t>
  </si>
  <si>
    <t>channel handle</t>
  </si>
  <si>
    <t>@sarikaplays</t>
  </si>
  <si>
    <t>mannat</t>
  </si>
  <si>
    <t>@mannatwaslive</t>
  </si>
  <si>
    <t>kavisha</t>
  </si>
  <si>
    <t>@kavvaie</t>
  </si>
  <si>
    <t>nitu</t>
  </si>
  <si>
    <t>@nitsi</t>
  </si>
  <si>
    <t>aladin</t>
  </si>
  <si>
    <t>@nade flick</t>
  </si>
  <si>
    <t>angad</t>
  </si>
  <si>
    <t>@itsaang</t>
  </si>
  <si>
    <t>leon</t>
  </si>
  <si>
    <t>@leonwalkthrough</t>
  </si>
  <si>
    <t>uma</t>
  </si>
  <si>
    <t>@missgamer</t>
  </si>
  <si>
    <t>pragya</t>
  </si>
  <si>
    <t>@gamerarshi</t>
  </si>
  <si>
    <t>kiara</t>
  </si>
  <si>
    <t>@kiaragaming</t>
  </si>
  <si>
    <t>vaibhav</t>
  </si>
  <si>
    <t>@vaibhavstrems</t>
  </si>
  <si>
    <t>shruti</t>
  </si>
  <si>
    <t>@inferno</t>
  </si>
  <si>
    <t>mukti</t>
  </si>
  <si>
    <t>@muktiplays</t>
  </si>
  <si>
    <t>isha</t>
  </si>
  <si>
    <t>@gamerisha</t>
  </si>
  <si>
    <t>ankit</t>
  </si>
  <si>
    <t>@mastizonegaming</t>
  </si>
  <si>
    <t>danger</t>
  </si>
  <si>
    <t>@hydradanger</t>
  </si>
  <si>
    <t>arya</t>
  </si>
  <si>
    <t>@aryasan</t>
  </si>
  <si>
    <t>can</t>
  </si>
  <si>
    <t>@CANCANARYCAN</t>
  </si>
  <si>
    <t>TSU</t>
  </si>
  <si>
    <t>@tsunamicat</t>
  </si>
  <si>
    <t>@sarikaaplays</t>
  </si>
  <si>
    <t>@mannatlive</t>
  </si>
  <si>
    <t>@kavaiee</t>
  </si>
  <si>
    <t>@itsnitshi</t>
  </si>
  <si>
    <t>@nadeflickk</t>
  </si>
  <si>
    <t>@aang</t>
  </si>
  <si>
    <t>@leon</t>
  </si>
  <si>
    <t>@tsumicat</t>
  </si>
  <si>
    <t>@canary</t>
  </si>
  <si>
    <t>@arya</t>
  </si>
  <si>
    <t>@danger</t>
  </si>
  <si>
    <t>@mastizone</t>
  </si>
  <si>
    <t>@arshigamer</t>
  </si>
  <si>
    <t>@gamerishaa</t>
  </si>
  <si>
    <t>@muktigamer</t>
  </si>
  <si>
    <t>@shrutichauan</t>
  </si>
  <si>
    <t>@vaibhavstreams</t>
  </si>
  <si>
    <t>@kiaralifestyle</t>
  </si>
  <si>
    <t>@gamerarshii</t>
  </si>
  <si>
    <t>@missgamergirl</t>
  </si>
  <si>
    <t>views</t>
  </si>
  <si>
    <t>Brands id</t>
  </si>
  <si>
    <t>Brand name</t>
  </si>
  <si>
    <t>AMD</t>
  </si>
  <si>
    <t>LENOVO</t>
  </si>
  <si>
    <t>KREO</t>
  </si>
  <si>
    <t>IQOO</t>
  </si>
  <si>
    <t>SAMSUNG</t>
  </si>
  <si>
    <t>Logitech</t>
  </si>
  <si>
    <t>HyperX</t>
  </si>
  <si>
    <t>Oneplus</t>
  </si>
  <si>
    <t>Redbull</t>
  </si>
  <si>
    <t>Monster</t>
  </si>
  <si>
    <t>Rooter</t>
  </si>
  <si>
    <t>Loco</t>
  </si>
  <si>
    <t>Kick</t>
  </si>
  <si>
    <t>Twitch</t>
  </si>
  <si>
    <t>ASUS</t>
  </si>
  <si>
    <t>Intel</t>
  </si>
  <si>
    <t>Kia</t>
  </si>
  <si>
    <t>Iphone</t>
  </si>
  <si>
    <t>Flipkart</t>
  </si>
  <si>
    <t>Amazon</t>
  </si>
  <si>
    <t>budget</t>
  </si>
  <si>
    <t>Game name</t>
  </si>
  <si>
    <t>BGMI</t>
  </si>
  <si>
    <t>PUBG PC</t>
  </si>
  <si>
    <t>VALORANT</t>
  </si>
  <si>
    <t>MOBA LEGEND</t>
  </si>
  <si>
    <t>CALLOF DUTY MOBILE</t>
  </si>
  <si>
    <t>Trackmaina</t>
  </si>
  <si>
    <t>Chess</t>
  </si>
  <si>
    <t>Honor of kings</t>
  </si>
  <si>
    <t>CS2</t>
  </si>
  <si>
    <t>Apex legends</t>
  </si>
  <si>
    <t>Pubg mobile</t>
  </si>
  <si>
    <t>Rocket league</t>
  </si>
  <si>
    <t>Coach</t>
  </si>
  <si>
    <t>Game analyst</t>
  </si>
  <si>
    <t>team manager</t>
  </si>
  <si>
    <t>Tejas</t>
  </si>
  <si>
    <t>SID</t>
  </si>
  <si>
    <t>AURUM</t>
  </si>
  <si>
    <t>practo</t>
  </si>
  <si>
    <t xml:space="preserve"> liner</t>
  </si>
  <si>
    <t>Tito</t>
  </si>
  <si>
    <t>Gukesh</t>
  </si>
  <si>
    <t>sage</t>
  </si>
  <si>
    <t>Astra</t>
  </si>
  <si>
    <t>Legend</t>
  </si>
  <si>
    <t>DRX</t>
  </si>
  <si>
    <t>Proton</t>
  </si>
  <si>
    <t xml:space="preserve"> kartik</t>
  </si>
  <si>
    <t>annie</t>
  </si>
  <si>
    <t>tejo</t>
  </si>
  <si>
    <t>lara</t>
  </si>
  <si>
    <t xml:space="preserve"> aman</t>
  </si>
  <si>
    <t>omkar</t>
  </si>
  <si>
    <t>learn</t>
  </si>
  <si>
    <t>terris</t>
  </si>
  <si>
    <t>danis</t>
  </si>
  <si>
    <t>remo</t>
  </si>
  <si>
    <t>fury</t>
  </si>
  <si>
    <t>vibhuti</t>
  </si>
  <si>
    <t>ayogi</t>
  </si>
  <si>
    <t>om</t>
  </si>
  <si>
    <t>himanshu</t>
  </si>
  <si>
    <t>krish</t>
  </si>
  <si>
    <t>sonu</t>
  </si>
  <si>
    <t>Apex</t>
  </si>
  <si>
    <t>Legends</t>
  </si>
  <si>
    <t>hector</t>
  </si>
  <si>
    <t xml:space="preserve"> kalan</t>
  </si>
  <si>
    <t>slug</t>
  </si>
  <si>
    <t>omega</t>
  </si>
  <si>
    <t>Player id</t>
  </si>
  <si>
    <t>Player name</t>
  </si>
  <si>
    <t xml:space="preserve">Game id </t>
  </si>
  <si>
    <t>Joinnign date</t>
  </si>
  <si>
    <t>DUORA</t>
  </si>
  <si>
    <t>SPRAYGOD</t>
  </si>
  <si>
    <t xml:space="preserve"> CLUTCHGOD</t>
  </si>
  <si>
    <t>Jonathan</t>
  </si>
  <si>
    <t>Jelly</t>
  </si>
  <si>
    <t xml:space="preserve">Admino </t>
  </si>
  <si>
    <t>Spower</t>
  </si>
  <si>
    <t>Manya</t>
  </si>
  <si>
    <t>Zap</t>
  </si>
  <si>
    <t>Goblin</t>
  </si>
  <si>
    <t>Aaru</t>
  </si>
  <si>
    <t>Akop</t>
  </si>
  <si>
    <t>Aatanki</t>
  </si>
  <si>
    <t>Nihal</t>
  </si>
  <si>
    <t>Sheek</t>
  </si>
  <si>
    <t xml:space="preserve">Nura </t>
  </si>
  <si>
    <t>Preeti</t>
  </si>
  <si>
    <t>Shweta</t>
  </si>
  <si>
    <t>Scout</t>
  </si>
  <si>
    <t>Starlight</t>
  </si>
  <si>
    <t>Spraygoat</t>
  </si>
  <si>
    <t>Punk</t>
  </si>
  <si>
    <t>Wmax</t>
  </si>
  <si>
    <t>Hella</t>
  </si>
  <si>
    <t>Jalebee</t>
  </si>
  <si>
    <t>Spectre</t>
  </si>
  <si>
    <t>Cipher</t>
  </si>
  <si>
    <t>Drift</t>
  </si>
  <si>
    <t>Zenith</t>
  </si>
  <si>
    <t>Raptor</t>
  </si>
  <si>
    <t>Pulse</t>
  </si>
  <si>
    <t>Onyx</t>
  </si>
  <si>
    <t>Storm</t>
  </si>
  <si>
    <t>Falcon</t>
  </si>
  <si>
    <t>Ghost</t>
  </si>
  <si>
    <t>Hydra</t>
  </si>
  <si>
    <t>Kraken</t>
  </si>
  <si>
    <t>Nexus</t>
  </si>
  <si>
    <t>Aether</t>
  </si>
  <si>
    <t>Comet</t>
  </si>
  <si>
    <t>Wolfie</t>
  </si>
  <si>
    <t>SniperX</t>
  </si>
  <si>
    <t>Toxic</t>
  </si>
  <si>
    <t>Maverick</t>
  </si>
  <si>
    <t>Demon</t>
  </si>
  <si>
    <t>Chaos</t>
  </si>
  <si>
    <t>Creator id</t>
  </si>
  <si>
    <t>name</t>
  </si>
  <si>
    <t>posi</t>
  </si>
  <si>
    <t xml:space="preserve"> salary</t>
  </si>
  <si>
    <t xml:space="preserve"> rushi</t>
  </si>
  <si>
    <t>tanmay</t>
  </si>
  <si>
    <t>ruhi</t>
  </si>
  <si>
    <t>jagruti</t>
  </si>
  <si>
    <t>nayan</t>
  </si>
  <si>
    <t>aarya</t>
  </si>
  <si>
    <t>meera</t>
  </si>
  <si>
    <t xml:space="preserve"> sanket</t>
  </si>
  <si>
    <t>kaash</t>
  </si>
  <si>
    <t>riya</t>
  </si>
  <si>
    <t>tejashree</t>
  </si>
  <si>
    <t>Cooking</t>
  </si>
  <si>
    <t>Editor</t>
  </si>
  <si>
    <t>thumbnail maker</t>
  </si>
  <si>
    <t>social media handler</t>
  </si>
  <si>
    <t>Point of contact</t>
  </si>
  <si>
    <t>Marketing</t>
  </si>
  <si>
    <t>editor</t>
  </si>
  <si>
    <t>BRAND ID</t>
  </si>
  <si>
    <t>ID</t>
  </si>
  <si>
    <t>HANDLE</t>
  </si>
  <si>
    <t>VLOOKUP</t>
  </si>
  <si>
    <t>HLOOKUP</t>
  </si>
  <si>
    <t>Channel handle</t>
  </si>
  <si>
    <t xml:space="preserve">IF </t>
  </si>
  <si>
    <t>sumif</t>
  </si>
  <si>
    <t>Row Labels</t>
  </si>
  <si>
    <t>Grand Total</t>
  </si>
  <si>
    <t>Sum of views</t>
  </si>
  <si>
    <t>Sum of  salary</t>
  </si>
  <si>
    <t>id</t>
  </si>
  <si>
    <t>Game id</t>
  </si>
  <si>
    <t>trophies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</si>
</sst>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theme="7"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49" fontId="0" fillId="0" borderId="0" xfId="0" applyNumberFormat="1"/>
    <xf numFmtId="14" fontId="0" fillId="0" borderId="0" xfId="0" applyNumberFormat="1"/>
    <xf numFmtId="1" fontId="0" fillId="0" borderId="0" xfId="0" applyNumberFormat="1"/>
    <xf numFmtId="0" fontId="0" fillId="0" borderId="1" xfId="0" applyBorder="1" applyAlignment="1">
      <alignment horizontal="center"/>
    </xf>
    <xf numFmtId="0" fontId="0" fillId="0" borderId="0" xfId="0" pivotButton="1"/>
    <xf numFmtId="0" fontId="0" fillId="0" borderId="0" xfId="0" applyAlignment="1">
      <alignment horizontal="left"/>
    </xf>
    <xf numFmtId="0" fontId="0" fillId="2" borderId="1" xfId="0" applyFill="1" applyBorder="1" applyAlignment="1">
      <alignment horizontal="center"/>
    </xf>
    <xf numFmtId="0" fontId="0" fillId="0" borderId="1" xfId="0"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[DRAGONESPORTS.xlsx]Pivot table!PivotTable1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c:f>
              <c:strCache>
                <c:ptCount val="1"/>
                <c:pt idx="0">
                  <c:v>Total</c:v>
                </c:pt>
              </c:strCache>
            </c:strRef>
          </c:tx>
          <c:spPr>
            <a:solidFill>
              <a:schemeClr val="accent1"/>
            </a:solidFill>
            <a:ln>
              <a:noFill/>
            </a:ln>
            <a:effectLst/>
          </c:spPr>
          <c:invertIfNegative val="0"/>
          <c:cat>
            <c:strRef>
              <c:f>'Pivot table'!$A$4:$A$5</c:f>
              <c:strCache>
                <c:ptCount val="1"/>
                <c:pt idx="0">
                  <c:v>kavisha</c:v>
                </c:pt>
              </c:strCache>
            </c:strRef>
          </c:cat>
          <c:val>
            <c:numRef>
              <c:f>'Pivot table'!$B$4:$B$5</c:f>
              <c:numCache>
                <c:formatCode>General</c:formatCode>
                <c:ptCount val="1"/>
                <c:pt idx="0">
                  <c:v>1250000</c:v>
                </c:pt>
              </c:numCache>
            </c:numRef>
          </c:val>
          <c:extLst>
            <c:ext xmlns:c16="http://schemas.microsoft.com/office/drawing/2014/chart" uri="{C3380CC4-5D6E-409C-BE32-E72D297353CC}">
              <c16:uniqueId val="{00000000-0A9D-4798-A2D6-151A1ABF3A53}"/>
            </c:ext>
          </c:extLst>
        </c:ser>
        <c:dLbls>
          <c:showLegendKey val="0"/>
          <c:showVal val="0"/>
          <c:showCatName val="0"/>
          <c:showSerName val="0"/>
          <c:showPercent val="0"/>
          <c:showBubbleSize val="0"/>
        </c:dLbls>
        <c:gapWidth val="219"/>
        <c:overlap val="-27"/>
        <c:axId val="1126944031"/>
        <c:axId val="1126940671"/>
      </c:barChart>
      <c:catAx>
        <c:axId val="11269440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6940671"/>
        <c:crosses val="autoZero"/>
        <c:auto val="1"/>
        <c:lblAlgn val="ctr"/>
        <c:lblOffset val="100"/>
        <c:noMultiLvlLbl val="0"/>
      </c:catAx>
      <c:valAx>
        <c:axId val="1126940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6944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[DRAGONESPORTS.xlsx]Pivot table!PivotTable3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s>
    <c:plotArea>
      <c:layout/>
      <c:pieChart>
        <c:varyColors val="1"/>
        <c:ser>
          <c:idx val="0"/>
          <c:order val="0"/>
          <c:tx>
            <c:strRef>
              <c:f>'Pivot table'!$B$19</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57C2-4CAA-B762-FF0C18BBBDD7}"/>
              </c:ext>
            </c:extLst>
          </c:dPt>
          <c:dPt>
            <c:idx val="1"/>
            <c:bubble3D val="0"/>
            <c:spPr>
              <a:solidFill>
                <a:schemeClr val="accent2"/>
              </a:solidFill>
              <a:ln>
                <a:noFill/>
              </a:ln>
              <a:effectLst/>
            </c:spPr>
            <c:extLst>
              <c:ext xmlns:c16="http://schemas.microsoft.com/office/drawing/2014/chart" uri="{C3380CC4-5D6E-409C-BE32-E72D297353CC}">
                <c16:uniqueId val="{00000003-57C2-4CAA-B762-FF0C18BBBDD7}"/>
              </c:ext>
            </c:extLst>
          </c:dPt>
          <c:dPt>
            <c:idx val="2"/>
            <c:bubble3D val="0"/>
            <c:spPr>
              <a:solidFill>
                <a:schemeClr val="accent3"/>
              </a:solidFill>
              <a:ln>
                <a:noFill/>
              </a:ln>
              <a:effectLst/>
            </c:spPr>
            <c:extLst>
              <c:ext xmlns:c16="http://schemas.microsoft.com/office/drawing/2014/chart" uri="{C3380CC4-5D6E-409C-BE32-E72D297353CC}">
                <c16:uniqueId val="{00000005-57C2-4CAA-B762-FF0C18BBBDD7}"/>
              </c:ext>
            </c:extLst>
          </c:dPt>
          <c:dPt>
            <c:idx val="3"/>
            <c:bubble3D val="0"/>
            <c:spPr>
              <a:solidFill>
                <a:schemeClr val="accent4"/>
              </a:solidFill>
              <a:ln>
                <a:noFill/>
              </a:ln>
              <a:effectLst/>
            </c:spPr>
            <c:extLst>
              <c:ext xmlns:c16="http://schemas.microsoft.com/office/drawing/2014/chart" uri="{C3380CC4-5D6E-409C-BE32-E72D297353CC}">
                <c16:uniqueId val="{00000007-57C2-4CAA-B762-FF0C18BBBDD7}"/>
              </c:ext>
            </c:extLst>
          </c:dPt>
          <c:dPt>
            <c:idx val="4"/>
            <c:bubble3D val="0"/>
            <c:spPr>
              <a:solidFill>
                <a:schemeClr val="accent5"/>
              </a:solidFill>
              <a:ln>
                <a:noFill/>
              </a:ln>
              <a:effectLst/>
            </c:spPr>
            <c:extLst>
              <c:ext xmlns:c16="http://schemas.microsoft.com/office/drawing/2014/chart" uri="{C3380CC4-5D6E-409C-BE32-E72D297353CC}">
                <c16:uniqueId val="{00000009-57C2-4CAA-B762-FF0C18BBBDD7}"/>
              </c:ext>
            </c:extLst>
          </c:dPt>
          <c:dPt>
            <c:idx val="5"/>
            <c:bubble3D val="0"/>
            <c:spPr>
              <a:solidFill>
                <a:schemeClr val="accent6"/>
              </a:solidFill>
              <a:ln>
                <a:noFill/>
              </a:ln>
              <a:effectLst/>
            </c:spPr>
            <c:extLst>
              <c:ext xmlns:c16="http://schemas.microsoft.com/office/drawing/2014/chart" uri="{C3380CC4-5D6E-409C-BE32-E72D297353CC}">
                <c16:uniqueId val="{0000000B-57C2-4CAA-B762-FF0C18BBBDD7}"/>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57C2-4CAA-B762-FF0C18BBBDD7}"/>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57C2-4CAA-B762-FF0C18BBBDD7}"/>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57C2-4CAA-B762-FF0C18BBBDD7}"/>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57C2-4CAA-B762-FF0C18BBBDD7}"/>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57C2-4CAA-B762-FF0C18BBBDD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table'!$A$20:$A$31</c:f>
              <c:strCache>
                <c:ptCount val="11"/>
                <c:pt idx="0">
                  <c:v> rushi</c:v>
                </c:pt>
                <c:pt idx="1">
                  <c:v> sanket</c:v>
                </c:pt>
                <c:pt idx="2">
                  <c:v>aarya</c:v>
                </c:pt>
                <c:pt idx="3">
                  <c:v>jagruti</c:v>
                </c:pt>
                <c:pt idx="4">
                  <c:v>kaash</c:v>
                </c:pt>
                <c:pt idx="5">
                  <c:v>meera</c:v>
                </c:pt>
                <c:pt idx="6">
                  <c:v>nayan</c:v>
                </c:pt>
                <c:pt idx="7">
                  <c:v>riya</c:v>
                </c:pt>
                <c:pt idx="8">
                  <c:v>ruhi</c:v>
                </c:pt>
                <c:pt idx="9">
                  <c:v>tanmay</c:v>
                </c:pt>
                <c:pt idx="10">
                  <c:v>tejashree</c:v>
                </c:pt>
              </c:strCache>
            </c:strRef>
          </c:cat>
          <c:val>
            <c:numRef>
              <c:f>'Pivot table'!$B$20:$B$31</c:f>
              <c:numCache>
                <c:formatCode>General</c:formatCode>
                <c:ptCount val="11"/>
                <c:pt idx="0">
                  <c:v>12000</c:v>
                </c:pt>
                <c:pt idx="1">
                  <c:v>10000</c:v>
                </c:pt>
                <c:pt idx="2">
                  <c:v>18000</c:v>
                </c:pt>
                <c:pt idx="3">
                  <c:v>35000</c:v>
                </c:pt>
                <c:pt idx="4">
                  <c:v>15000</c:v>
                </c:pt>
                <c:pt idx="5">
                  <c:v>10000</c:v>
                </c:pt>
                <c:pt idx="6">
                  <c:v>12000</c:v>
                </c:pt>
                <c:pt idx="7">
                  <c:v>18000</c:v>
                </c:pt>
                <c:pt idx="8">
                  <c:v>20000</c:v>
                </c:pt>
                <c:pt idx="9">
                  <c:v>20000</c:v>
                </c:pt>
                <c:pt idx="10">
                  <c:v>10000</c:v>
                </c:pt>
              </c:numCache>
            </c:numRef>
          </c:val>
          <c:extLst>
            <c:ext xmlns:c16="http://schemas.microsoft.com/office/drawing/2014/chart" uri="{C3380CC4-5D6E-409C-BE32-E72D297353CC}">
              <c16:uniqueId val="{00000000-2949-4B2B-AB0B-D76053E35AC4}"/>
            </c:ext>
          </c:extLst>
        </c:ser>
        <c:dLbls>
          <c:showLegendKey val="0"/>
          <c:showVal val="0"/>
          <c:showCatName val="1"/>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365125</xdr:colOff>
      <xdr:row>0</xdr:row>
      <xdr:rowOff>0</xdr:rowOff>
    </xdr:from>
    <xdr:to>
      <xdr:col>13</xdr:col>
      <xdr:colOff>60325</xdr:colOff>
      <xdr:row>14</xdr:row>
      <xdr:rowOff>165100</xdr:rowOff>
    </xdr:to>
    <xdr:graphicFrame macro="">
      <xdr:nvGraphicFramePr>
        <xdr:cNvPr id="2" name="Chart 1">
          <a:extLst>
            <a:ext uri="{FF2B5EF4-FFF2-40B4-BE49-F238E27FC236}">
              <a16:creationId xmlns:a16="http://schemas.microsoft.com/office/drawing/2014/main" id="{C5BE78A3-F1AE-7611-7940-B36F6B6CD5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393700</xdr:colOff>
      <xdr:row>0</xdr:row>
      <xdr:rowOff>0</xdr:rowOff>
    </xdr:from>
    <xdr:to>
      <xdr:col>5</xdr:col>
      <xdr:colOff>393700</xdr:colOff>
      <xdr:row>14</xdr:row>
      <xdr:rowOff>146050</xdr:rowOff>
    </xdr:to>
    <mc:AlternateContent xmlns:mc="http://schemas.openxmlformats.org/markup-compatibility/2006" xmlns:a14="http://schemas.microsoft.com/office/drawing/2010/main">
      <mc:Choice Requires="a14">
        <xdr:graphicFrame macro="">
          <xdr:nvGraphicFramePr>
            <xdr:cNvPr id="3" name="Creator name">
              <a:extLst>
                <a:ext uri="{FF2B5EF4-FFF2-40B4-BE49-F238E27FC236}">
                  <a16:creationId xmlns:a16="http://schemas.microsoft.com/office/drawing/2014/main" id="{FA9609C3-8B7A-7ADE-1A17-A0C7C52F7815}"/>
                </a:ext>
              </a:extLst>
            </xdr:cNvPr>
            <xdr:cNvGraphicFramePr/>
          </xdr:nvGraphicFramePr>
          <xdr:xfrm>
            <a:off x="0" y="0"/>
            <a:ext cx="0" cy="0"/>
          </xdr:xfrm>
          <a:graphic>
            <a:graphicData uri="http://schemas.microsoft.com/office/drawing/2010/slicer">
              <sle:slicer xmlns:sle="http://schemas.microsoft.com/office/drawing/2010/slicer" name="Creator name"/>
            </a:graphicData>
          </a:graphic>
        </xdr:graphicFrame>
      </mc:Choice>
      <mc:Fallback xmlns="">
        <xdr:sp macro="" textlink="">
          <xdr:nvSpPr>
            <xdr:cNvPr id="0" name=""/>
            <xdr:cNvSpPr>
              <a:spLocks noTextEdit="1"/>
            </xdr:cNvSpPr>
          </xdr:nvSpPr>
          <xdr:spPr>
            <a:xfrm>
              <a:off x="2076450" y="0"/>
              <a:ext cx="1828800" cy="2724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44450</xdr:colOff>
      <xdr:row>0</xdr:row>
      <xdr:rowOff>0</xdr:rowOff>
    </xdr:from>
    <xdr:to>
      <xdr:col>16</xdr:col>
      <xdr:colOff>44450</xdr:colOff>
      <xdr:row>15</xdr:row>
      <xdr:rowOff>0</xdr:rowOff>
    </xdr:to>
    <mc:AlternateContent xmlns:mc="http://schemas.openxmlformats.org/markup-compatibility/2006" xmlns:a14="http://schemas.microsoft.com/office/drawing/2010/main">
      <mc:Choice Requires="a14">
        <xdr:graphicFrame macro="">
          <xdr:nvGraphicFramePr>
            <xdr:cNvPr id="4" name="views">
              <a:extLst>
                <a:ext uri="{FF2B5EF4-FFF2-40B4-BE49-F238E27FC236}">
                  <a16:creationId xmlns:a16="http://schemas.microsoft.com/office/drawing/2014/main" id="{816F29E4-6AF9-D272-003B-02CEA8595E7F}"/>
                </a:ext>
              </a:extLst>
            </xdr:cNvPr>
            <xdr:cNvGraphicFramePr/>
          </xdr:nvGraphicFramePr>
          <xdr:xfrm>
            <a:off x="0" y="0"/>
            <a:ext cx="0" cy="0"/>
          </xdr:xfrm>
          <a:graphic>
            <a:graphicData uri="http://schemas.microsoft.com/office/drawing/2010/slicer">
              <sle:slicer xmlns:sle="http://schemas.microsoft.com/office/drawing/2010/slicer" name="views"/>
            </a:graphicData>
          </a:graphic>
        </xdr:graphicFrame>
      </mc:Choice>
      <mc:Fallback xmlns="">
        <xdr:sp macro="" textlink="">
          <xdr:nvSpPr>
            <xdr:cNvPr id="0" name=""/>
            <xdr:cNvSpPr>
              <a:spLocks noTextEdit="1"/>
            </xdr:cNvSpPr>
          </xdr:nvSpPr>
          <xdr:spPr>
            <a:xfrm>
              <a:off x="8947150" y="0"/>
              <a:ext cx="1828800" cy="2762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365125</xdr:colOff>
      <xdr:row>14</xdr:row>
      <xdr:rowOff>171450</xdr:rowOff>
    </xdr:from>
    <xdr:to>
      <xdr:col>12</xdr:col>
      <xdr:colOff>155575</xdr:colOff>
      <xdr:row>29</xdr:row>
      <xdr:rowOff>152400</xdr:rowOff>
    </xdr:to>
    <xdr:graphicFrame macro="">
      <xdr:nvGraphicFramePr>
        <xdr:cNvPr id="6" name="Chart 5">
          <a:extLst>
            <a:ext uri="{FF2B5EF4-FFF2-40B4-BE49-F238E27FC236}">
              <a16:creationId xmlns:a16="http://schemas.microsoft.com/office/drawing/2014/main" id="{A5B9A812-FB53-4738-E886-1A7D0C1A4C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jas Rajput" refreshedDate="46201.492282870371" createdVersion="8" refreshedVersion="8" minRefreshableVersion="3" recordCount="20" xr:uid="{103F80B2-201F-4D90-B93C-3778F49D8628}">
  <cacheSource type="worksheet">
    <worksheetSource ref="A1:I21" sheet="Creators"/>
  </cacheSource>
  <cacheFields count="9">
    <cacheField name="Creators id " numFmtId="0">
      <sharedItems containsSemiMixedTypes="0" containsString="0" containsNumber="1" containsInteger="1" minValue="1" maxValue="20"/>
    </cacheField>
    <cacheField name="Creator name" numFmtId="0">
      <sharedItems count="19">
        <s v="Sarika "/>
        <s v="mannat"/>
        <s v="kavisha"/>
        <s v="nitu"/>
        <s v="aladin"/>
        <s v="angad"/>
        <s v="leon"/>
        <s v="uma"/>
        <s v="pragya"/>
        <s v="kiara"/>
        <s v="vaibhav"/>
        <s v="shruti"/>
        <s v="mukti"/>
        <s v="isha"/>
        <s v="ankit"/>
        <s v="danger"/>
        <s v="arya"/>
        <s v="can"/>
        <s v="TSU"/>
      </sharedItems>
    </cacheField>
    <cacheField name="channel handle" numFmtId="49">
      <sharedItems/>
    </cacheField>
    <cacheField name="sub count" numFmtId="0">
      <sharedItems containsSemiMixedTypes="0" containsString="0" containsNumber="1" containsInteger="1" minValue="2460" maxValue="998000"/>
    </cacheField>
    <cacheField name="insta id" numFmtId="49">
      <sharedItems/>
    </cacheField>
    <cacheField name="views" numFmtId="0">
      <sharedItems containsSemiMixedTypes="0" containsString="0" containsNumber="1" containsInteger="1" minValue="48500" maxValue="12400000" count="20">
        <n v="48500"/>
        <n v="132000"/>
        <n v="1250000"/>
        <n v="8700000"/>
        <n v="945000"/>
        <n v="278000"/>
        <n v="156000"/>
        <n v="684000"/>
        <n v="2340000"/>
        <n v="1120000"/>
        <n v="5800000"/>
        <n v="792000"/>
        <n v="365000"/>
        <n v="3150000"/>
        <n v="12400000"/>
        <n v="875000"/>
        <n v="1460000"/>
        <n v="4920000"/>
        <n v="610000"/>
        <n v="7300000"/>
      </sharedItems>
    </cacheField>
    <cacheField name="Editor" numFmtId="1">
      <sharedItems containsSemiMixedTypes="0" containsString="0" containsNumber="1" minValue="201" maxValue="222.95238095238099"/>
    </cacheField>
    <cacheField name="BRAND ID" numFmtId="0">
      <sharedItems containsSemiMixedTypes="0" containsString="0" containsNumber="1" containsInteger="1" minValue="501" maxValue="519"/>
    </cacheField>
    <cacheField name="IF " numFmtId="0">
      <sharedItems/>
    </cacheField>
  </cacheFields>
  <extLst>
    <ext xmlns:x14="http://schemas.microsoft.com/office/spreadsheetml/2009/9/main" uri="{725AE2AE-9491-48be-B2B4-4EB974FC3084}">
      <x14:pivotCacheDefinition pivotCacheId="198808848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jas Rajput" refreshedDate="46201.51201875" createdVersion="8" refreshedVersion="8" minRefreshableVersion="3" recordCount="11" xr:uid="{A3E365F0-6C9C-49AB-9E5C-BB1D5BA7F6E0}">
  <cacheSource type="worksheet">
    <worksheetSource ref="A1:D12" sheet="backend"/>
  </cacheSource>
  <cacheFields count="4">
    <cacheField name="id" numFmtId="0">
      <sharedItems containsSemiMixedTypes="0" containsString="0" containsNumber="1" containsInteger="1" minValue="200" maxValue="210"/>
    </cacheField>
    <cacheField name="name" numFmtId="0">
      <sharedItems count="11">
        <s v=" rushi"/>
        <s v="tanmay"/>
        <s v="ruhi"/>
        <s v="jagruti"/>
        <s v="nayan"/>
        <s v="aarya"/>
        <s v="meera"/>
        <s v=" sanket"/>
        <s v="kaash"/>
        <s v="riya"/>
        <s v="tejashree"/>
      </sharedItems>
    </cacheField>
    <cacheField name="posi" numFmtId="0">
      <sharedItems/>
    </cacheField>
    <cacheField name=" salary" numFmtId="0">
      <sharedItems containsSemiMixedTypes="0" containsString="0" containsNumber="1" containsInteger="1" minValue="10000" maxValue="35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n v="1"/>
    <x v="0"/>
    <s v="@sarikaplays"/>
    <n v="5000"/>
    <s v="@sarikaaplays"/>
    <x v="0"/>
    <n v="201"/>
    <n v="519"/>
    <s v="not"/>
  </r>
  <r>
    <n v="2"/>
    <x v="1"/>
    <s v="@mannatwaslive"/>
    <n v="7000"/>
    <s v="@mannatlive"/>
    <x v="1"/>
    <n v="201"/>
    <n v="501"/>
    <s v="eligible"/>
  </r>
  <r>
    <n v="3"/>
    <x v="2"/>
    <s v="@kavvaie"/>
    <n v="14000"/>
    <s v="@kavaiee"/>
    <x v="2"/>
    <n v="201"/>
    <n v="510"/>
    <s v="eligible"/>
  </r>
  <r>
    <n v="4"/>
    <x v="3"/>
    <s v="@nitsi"/>
    <n v="35000"/>
    <s v="@itsnitshi"/>
    <x v="3"/>
    <n v="210"/>
    <n v="505"/>
    <s v="eligible"/>
  </r>
  <r>
    <n v="5"/>
    <x v="4"/>
    <s v="@nade flick"/>
    <n v="201000"/>
    <s v="@nadeflickk"/>
    <x v="4"/>
    <n v="202"/>
    <n v="511"/>
    <s v="eligible"/>
  </r>
  <r>
    <n v="6"/>
    <x v="5"/>
    <s v="@itsaang"/>
    <n v="83000"/>
    <s v="@aang"/>
    <x v="5"/>
    <n v="201"/>
    <n v="516"/>
    <s v="eligible"/>
  </r>
  <r>
    <n v="7"/>
    <x v="6"/>
    <s v="@leonwalkthrough"/>
    <n v="123000"/>
    <s v="@leon"/>
    <x v="6"/>
    <n v="210"/>
    <n v="503"/>
    <s v="eligible"/>
  </r>
  <r>
    <n v="8"/>
    <x v="7"/>
    <s v="@missgamer"/>
    <n v="5000"/>
    <s v="@missgamergirl"/>
    <x v="7"/>
    <n v="210"/>
    <n v="501"/>
    <s v="not"/>
  </r>
  <r>
    <n v="9"/>
    <x v="8"/>
    <s v="@gamerarshi"/>
    <n v="7000"/>
    <s v="@gamerarshii"/>
    <x v="8"/>
    <n v="209.857142857143"/>
    <n v="509"/>
    <s v="eligible"/>
  </r>
  <r>
    <n v="10"/>
    <x v="9"/>
    <s v="@kiaragaming"/>
    <n v="101000"/>
    <s v="@kiaralifestyle"/>
    <x v="9"/>
    <n v="211.04761904761901"/>
    <n v="514"/>
    <s v="eligible"/>
  </r>
  <r>
    <n v="11"/>
    <x v="10"/>
    <s v="@vaibhavstrems"/>
    <n v="2460"/>
    <s v="@vaibhavstreams"/>
    <x v="10"/>
    <n v="212.23809523809501"/>
    <n v="505"/>
    <s v="not"/>
  </r>
  <r>
    <n v="12"/>
    <x v="11"/>
    <s v="@inferno"/>
    <n v="10000"/>
    <s v="@shrutichauan"/>
    <x v="11"/>
    <n v="213.42857142857099"/>
    <n v="519"/>
    <s v="eligible"/>
  </r>
  <r>
    <n v="13"/>
    <x v="12"/>
    <s v="@muktiplays"/>
    <n v="32000"/>
    <s v="@muktigamer"/>
    <x v="12"/>
    <n v="214.61904761904799"/>
    <n v="507"/>
    <s v="eligible"/>
  </r>
  <r>
    <n v="14"/>
    <x v="13"/>
    <s v="@gamerisha"/>
    <n v="5000"/>
    <s v="@gamerishaa"/>
    <x v="13"/>
    <n v="215.80952380952399"/>
    <n v="504"/>
    <s v="not"/>
  </r>
  <r>
    <n v="15"/>
    <x v="8"/>
    <s v="@gamerarshi"/>
    <n v="6500"/>
    <s v="@arshigamer"/>
    <x v="14"/>
    <n v="217"/>
    <n v="501"/>
    <s v="eligible"/>
  </r>
  <r>
    <n v="16"/>
    <x v="14"/>
    <s v="@mastizonegaming"/>
    <n v="605900"/>
    <s v="@mastizone"/>
    <x v="15"/>
    <n v="218.19047619047601"/>
    <n v="504"/>
    <s v="eligible"/>
  </r>
  <r>
    <n v="17"/>
    <x v="15"/>
    <s v="@hydradanger"/>
    <n v="998000"/>
    <s v="@danger"/>
    <x v="16"/>
    <n v="219.38095238095201"/>
    <n v="517"/>
    <s v="eligible"/>
  </r>
  <r>
    <n v="18"/>
    <x v="16"/>
    <s v="@aryasan"/>
    <n v="3000"/>
    <s v="@arya"/>
    <x v="17"/>
    <n v="220.57142857142901"/>
    <n v="512"/>
    <s v="not"/>
  </r>
  <r>
    <n v="19"/>
    <x v="17"/>
    <s v="@CANCANARYCAN"/>
    <n v="6000"/>
    <s v="@canary"/>
    <x v="18"/>
    <n v="221.76190476190499"/>
    <n v="502"/>
    <s v="not"/>
  </r>
  <r>
    <n v="20"/>
    <x v="18"/>
    <s v="@tsunamicat"/>
    <n v="100000"/>
    <s v="@tsumicat"/>
    <x v="19"/>
    <n v="222.95238095238099"/>
    <n v="508"/>
    <s v="eligibl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n v="200"/>
    <x v="0"/>
    <s v="Cooking"/>
    <n v="12000"/>
  </r>
  <r>
    <n v="201"/>
    <x v="1"/>
    <s v="Editor"/>
    <n v="20000"/>
  </r>
  <r>
    <n v="202"/>
    <x v="2"/>
    <s v="Editor"/>
    <n v="20000"/>
  </r>
  <r>
    <n v="203"/>
    <x v="3"/>
    <s v="Editor"/>
    <n v="35000"/>
  </r>
  <r>
    <n v="204"/>
    <x v="4"/>
    <s v="Cooking"/>
    <n v="12000"/>
  </r>
  <r>
    <n v="205"/>
    <x v="5"/>
    <s v="thumbnail maker"/>
    <n v="18000"/>
  </r>
  <r>
    <n v="206"/>
    <x v="6"/>
    <s v="social media handler"/>
    <n v="10000"/>
  </r>
  <r>
    <n v="207"/>
    <x v="7"/>
    <s v="social media handler"/>
    <n v="10000"/>
  </r>
  <r>
    <n v="208"/>
    <x v="8"/>
    <s v="Point of contact"/>
    <n v="15000"/>
  </r>
  <r>
    <n v="209"/>
    <x v="9"/>
    <s v="Marketing"/>
    <n v="18000"/>
  </r>
  <r>
    <n v="210"/>
    <x v="10"/>
    <s v="Editor"/>
    <n v="1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FB8460-0682-4A69-B2A6-9FDF571C38B5}"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9:B31" firstHeaderRow="1" firstDataRow="1" firstDataCol="1"/>
  <pivotFields count="4">
    <pivotField showAll="0"/>
    <pivotField axis="axisRow" showAll="0">
      <items count="12">
        <item x="0"/>
        <item x="7"/>
        <item x="5"/>
        <item x="3"/>
        <item x="8"/>
        <item x="6"/>
        <item x="4"/>
        <item x="9"/>
        <item x="2"/>
        <item x="1"/>
        <item x="10"/>
        <item t="default"/>
      </items>
    </pivotField>
    <pivotField showAll="0"/>
    <pivotField dataField="1" showAll="0"/>
  </pivotFields>
  <rowFields count="1">
    <field x="1"/>
  </rowFields>
  <rowItems count="12">
    <i>
      <x/>
    </i>
    <i>
      <x v="1"/>
    </i>
    <i>
      <x v="2"/>
    </i>
    <i>
      <x v="3"/>
    </i>
    <i>
      <x v="4"/>
    </i>
    <i>
      <x v="5"/>
    </i>
    <i>
      <x v="6"/>
    </i>
    <i>
      <x v="7"/>
    </i>
    <i>
      <x v="8"/>
    </i>
    <i>
      <x v="9"/>
    </i>
    <i>
      <x v="10"/>
    </i>
    <i t="grand">
      <x/>
    </i>
  </rowItems>
  <colItems count="1">
    <i/>
  </colItems>
  <dataFields count="1">
    <dataField name="Sum of  salary" fld="3"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0"/>
          </reference>
        </references>
      </pivotArea>
    </chartFormat>
    <chartFormat chart="0" format="2">
      <pivotArea type="data" outline="0" fieldPosition="0">
        <references count="2">
          <reference field="4294967294" count="1" selected="0">
            <x v="0"/>
          </reference>
          <reference field="1" count="1" selected="0">
            <x v="1"/>
          </reference>
        </references>
      </pivotArea>
    </chartFormat>
    <chartFormat chart="0" format="3">
      <pivotArea type="data" outline="0" fieldPosition="0">
        <references count="2">
          <reference field="4294967294" count="1" selected="0">
            <x v="0"/>
          </reference>
          <reference field="1" count="1" selected="0">
            <x v="2"/>
          </reference>
        </references>
      </pivotArea>
    </chartFormat>
    <chartFormat chart="0" format="4">
      <pivotArea type="data" outline="0" fieldPosition="0">
        <references count="2">
          <reference field="4294967294" count="1" selected="0">
            <x v="0"/>
          </reference>
          <reference field="1" count="1" selected="0">
            <x v="3"/>
          </reference>
        </references>
      </pivotArea>
    </chartFormat>
    <chartFormat chart="0" format="5">
      <pivotArea type="data" outline="0" fieldPosition="0">
        <references count="2">
          <reference field="4294967294" count="1" selected="0">
            <x v="0"/>
          </reference>
          <reference field="1" count="1" selected="0">
            <x v="4"/>
          </reference>
        </references>
      </pivotArea>
    </chartFormat>
    <chartFormat chart="0" format="6">
      <pivotArea type="data" outline="0" fieldPosition="0">
        <references count="2">
          <reference field="4294967294" count="1" selected="0">
            <x v="0"/>
          </reference>
          <reference field="1" count="1" selected="0">
            <x v="5"/>
          </reference>
        </references>
      </pivotArea>
    </chartFormat>
    <chartFormat chart="0" format="7">
      <pivotArea type="data" outline="0" fieldPosition="0">
        <references count="2">
          <reference field="4294967294" count="1" selected="0">
            <x v="0"/>
          </reference>
          <reference field="1" count="1" selected="0">
            <x v="6"/>
          </reference>
        </references>
      </pivotArea>
    </chartFormat>
    <chartFormat chart="0" format="8">
      <pivotArea type="data" outline="0" fieldPosition="0">
        <references count="2">
          <reference field="4294967294" count="1" selected="0">
            <x v="0"/>
          </reference>
          <reference field="1" count="1" selected="0">
            <x v="7"/>
          </reference>
        </references>
      </pivotArea>
    </chartFormat>
    <chartFormat chart="0" format="9">
      <pivotArea type="data" outline="0" fieldPosition="0">
        <references count="2">
          <reference field="4294967294" count="1" selected="0">
            <x v="0"/>
          </reference>
          <reference field="1" count="1" selected="0">
            <x v="8"/>
          </reference>
        </references>
      </pivotArea>
    </chartFormat>
    <chartFormat chart="0" format="10">
      <pivotArea type="data" outline="0" fieldPosition="0">
        <references count="2">
          <reference field="4294967294" count="1" selected="0">
            <x v="0"/>
          </reference>
          <reference field="1" count="1" selected="0">
            <x v="9"/>
          </reference>
        </references>
      </pivotArea>
    </chartFormat>
    <chartFormat chart="0" format="11">
      <pivotArea type="data" outline="0" fieldPosition="0">
        <references count="2">
          <reference field="4294967294" count="1" selected="0">
            <x v="0"/>
          </reference>
          <reference field="1"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6448163-02FF-454A-A8E2-6FD9478EAC6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5" firstHeaderRow="1" firstDataRow="1" firstDataCol="1"/>
  <pivotFields count="9">
    <pivotField showAll="0"/>
    <pivotField axis="axisRow" showAll="0">
      <items count="20">
        <item h="1" x="4"/>
        <item h="1" x="5"/>
        <item h="1" x="14"/>
        <item h="1" x="16"/>
        <item h="1" x="17"/>
        <item h="1" x="15"/>
        <item h="1" x="13"/>
        <item x="2"/>
        <item h="1" x="9"/>
        <item h="1" x="6"/>
        <item h="1" x="1"/>
        <item h="1" x="12"/>
        <item h="1" x="3"/>
        <item h="1" x="8"/>
        <item h="1" x="0"/>
        <item h="1" x="11"/>
        <item h="1" x="18"/>
        <item h="1" x="7"/>
        <item h="1" x="10"/>
        <item t="default"/>
      </items>
    </pivotField>
    <pivotField showAll="0"/>
    <pivotField showAll="0"/>
    <pivotField showAll="0"/>
    <pivotField dataField="1" showAll="0">
      <items count="21">
        <item x="0"/>
        <item x="1"/>
        <item x="6"/>
        <item x="5"/>
        <item x="12"/>
        <item x="18"/>
        <item x="7"/>
        <item x="11"/>
        <item x="15"/>
        <item x="4"/>
        <item x="9"/>
        <item x="2"/>
        <item x="16"/>
        <item x="8"/>
        <item x="13"/>
        <item x="17"/>
        <item x="10"/>
        <item x="19"/>
        <item x="3"/>
        <item x="14"/>
        <item t="default"/>
      </items>
    </pivotField>
    <pivotField numFmtId="1" showAll="0"/>
    <pivotField showAll="0"/>
    <pivotField showAll="0"/>
  </pivotFields>
  <rowFields count="1">
    <field x="1"/>
  </rowFields>
  <rowItems count="2">
    <i>
      <x v="7"/>
    </i>
    <i t="grand">
      <x/>
    </i>
  </rowItems>
  <colItems count="1">
    <i/>
  </colItems>
  <dataFields count="1">
    <dataField name="Sum of views" fld="5"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eator_name" xr10:uid="{B1FC1CB2-1B5C-4292-9586-AF1BBF195946}" sourceName="Creator name">
  <pivotTables>
    <pivotTable tabId="8" name="PivotTable1"/>
  </pivotTables>
  <data>
    <tabular pivotCacheId="1988088487">
      <items count="19">
        <i x="4"/>
        <i x="5"/>
        <i x="14"/>
        <i x="16"/>
        <i x="17"/>
        <i x="15"/>
        <i x="13"/>
        <i x="2" s="1"/>
        <i x="9"/>
        <i x="6"/>
        <i x="1"/>
        <i x="12"/>
        <i x="3"/>
        <i x="8"/>
        <i x="0"/>
        <i x="11"/>
        <i x="18"/>
        <i x="7"/>
        <i x="1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iews" xr10:uid="{3A82A38E-9C4A-4842-A7AE-98E4FCE7899D}" sourceName="views">
  <pivotTables>
    <pivotTable tabId="8" name="PivotTable1"/>
  </pivotTables>
  <data>
    <tabular pivotCacheId="1988088487">
      <items count="20">
        <i x="2" s="1"/>
        <i x="0" s="1" nd="1"/>
        <i x="1" s="1" nd="1"/>
        <i x="6" s="1" nd="1"/>
        <i x="5" s="1" nd="1"/>
        <i x="12" s="1" nd="1"/>
        <i x="18" s="1" nd="1"/>
        <i x="7" s="1" nd="1"/>
        <i x="11" s="1" nd="1"/>
        <i x="15" s="1" nd="1"/>
        <i x="4" s="1" nd="1"/>
        <i x="9" s="1" nd="1"/>
        <i x="16" s="1" nd="1"/>
        <i x="8" s="1" nd="1"/>
        <i x="13" s="1" nd="1"/>
        <i x="17" s="1" nd="1"/>
        <i x="10" s="1" nd="1"/>
        <i x="19" s="1" nd="1"/>
        <i x="3" s="1" nd="1"/>
        <i x="1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reator name" xr10:uid="{A2D81E4D-EE99-4FF4-9345-BF658E378616}" cache="Slicer_Creator_name" caption="Creator name" startItem="4" rowHeight="241300"/>
  <slicer name="views" xr10:uid="{6D56B8F5-58D2-448D-88D1-A6D3A270543D}" cache="Slicer_views" caption="views"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BD211-B8E6-40EA-B916-D871188CC76B}">
  <dimension ref="A3:B31"/>
  <sheetViews>
    <sheetView workbookViewId="0">
      <selection activeCell="F33" sqref="F33"/>
    </sheetView>
  </sheetViews>
  <sheetFormatPr defaultRowHeight="14.5" x14ac:dyDescent="0.35"/>
  <cols>
    <col min="1" max="1" width="12.36328125" bestFit="1" customWidth="1"/>
    <col min="2" max="2" width="11.7265625" bestFit="1" customWidth="1"/>
    <col min="6" max="6" width="12.36328125" bestFit="1" customWidth="1"/>
    <col min="7" max="7" width="12.453125" bestFit="1" customWidth="1"/>
  </cols>
  <sheetData>
    <row r="3" spans="1:2" x14ac:dyDescent="0.35">
      <c r="A3" s="5" t="s">
        <v>218</v>
      </c>
      <c r="B3" t="s">
        <v>220</v>
      </c>
    </row>
    <row r="4" spans="1:2" x14ac:dyDescent="0.35">
      <c r="A4" s="6" t="s">
        <v>9</v>
      </c>
      <c r="B4">
        <v>1250000</v>
      </c>
    </row>
    <row r="5" spans="1:2" x14ac:dyDescent="0.35">
      <c r="A5" s="6" t="s">
        <v>219</v>
      </c>
      <c r="B5">
        <v>1250000</v>
      </c>
    </row>
    <row r="19" spans="1:2" x14ac:dyDescent="0.35">
      <c r="A19" s="5" t="s">
        <v>218</v>
      </c>
      <c r="B19" t="s">
        <v>221</v>
      </c>
    </row>
    <row r="20" spans="1:2" x14ac:dyDescent="0.35">
      <c r="A20" s="6" t="s">
        <v>192</v>
      </c>
      <c r="B20">
        <v>12000</v>
      </c>
    </row>
    <row r="21" spans="1:2" x14ac:dyDescent="0.35">
      <c r="A21" s="6" t="s">
        <v>199</v>
      </c>
      <c r="B21">
        <v>10000</v>
      </c>
    </row>
    <row r="22" spans="1:2" x14ac:dyDescent="0.35">
      <c r="A22" s="6" t="s">
        <v>197</v>
      </c>
      <c r="B22">
        <v>18000</v>
      </c>
    </row>
    <row r="23" spans="1:2" x14ac:dyDescent="0.35">
      <c r="A23" s="6" t="s">
        <v>195</v>
      </c>
      <c r="B23">
        <v>35000</v>
      </c>
    </row>
    <row r="24" spans="1:2" x14ac:dyDescent="0.35">
      <c r="A24" s="6" t="s">
        <v>200</v>
      </c>
      <c r="B24">
        <v>15000</v>
      </c>
    </row>
    <row r="25" spans="1:2" x14ac:dyDescent="0.35">
      <c r="A25" s="6" t="s">
        <v>198</v>
      </c>
      <c r="B25">
        <v>10000</v>
      </c>
    </row>
    <row r="26" spans="1:2" x14ac:dyDescent="0.35">
      <c r="A26" s="6" t="s">
        <v>196</v>
      </c>
      <c r="B26">
        <v>12000</v>
      </c>
    </row>
    <row r="27" spans="1:2" x14ac:dyDescent="0.35">
      <c r="A27" s="6" t="s">
        <v>201</v>
      </c>
      <c r="B27">
        <v>18000</v>
      </c>
    </row>
    <row r="28" spans="1:2" x14ac:dyDescent="0.35">
      <c r="A28" s="6" t="s">
        <v>194</v>
      </c>
      <c r="B28">
        <v>20000</v>
      </c>
    </row>
    <row r="29" spans="1:2" x14ac:dyDescent="0.35">
      <c r="A29" s="6" t="s">
        <v>193</v>
      </c>
      <c r="B29">
        <v>20000</v>
      </c>
    </row>
    <row r="30" spans="1:2" x14ac:dyDescent="0.35">
      <c r="A30" s="6" t="s">
        <v>202</v>
      </c>
      <c r="B30">
        <v>10000</v>
      </c>
    </row>
    <row r="31" spans="1:2" x14ac:dyDescent="0.35">
      <c r="A31" s="6" t="s">
        <v>219</v>
      </c>
      <c r="B31">
        <v>180000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EA1C7-6000-485C-8DCC-3212BB413B54}">
  <dimension ref="A1:M21"/>
  <sheetViews>
    <sheetView tabSelected="1" topLeftCell="C10" workbookViewId="0">
      <selection activeCell="L19" sqref="L19"/>
    </sheetView>
  </sheetViews>
  <sheetFormatPr defaultRowHeight="14.5" x14ac:dyDescent="0.35"/>
  <cols>
    <col min="1" max="1" width="10.36328125" bestFit="1" customWidth="1"/>
    <col min="2" max="2" width="12.26953125" bestFit="1" customWidth="1"/>
    <col min="3" max="3" width="17.36328125" style="1" bestFit="1" customWidth="1"/>
    <col min="4" max="4" width="9" bestFit="1" customWidth="1"/>
    <col min="5" max="5" width="15.81640625" style="1" bestFit="1" customWidth="1"/>
    <col min="6" max="6" width="8.81640625" bestFit="1" customWidth="1"/>
    <col min="7" max="7" width="11.36328125" bestFit="1" customWidth="1"/>
    <col min="12" max="12" width="13.90625" bestFit="1" customWidth="1"/>
    <col min="13" max="13" width="15.26953125" bestFit="1" customWidth="1"/>
  </cols>
  <sheetData>
    <row r="1" spans="1:13" x14ac:dyDescent="0.35">
      <c r="A1" t="s">
        <v>0</v>
      </c>
      <c r="B1" t="s">
        <v>1</v>
      </c>
      <c r="C1" s="1" t="s">
        <v>5</v>
      </c>
      <c r="D1" t="s">
        <v>2</v>
      </c>
      <c r="E1" s="1" t="s">
        <v>3</v>
      </c>
      <c r="F1" t="s">
        <v>63</v>
      </c>
      <c r="G1" s="1" t="s">
        <v>204</v>
      </c>
      <c r="H1" t="s">
        <v>210</v>
      </c>
      <c r="I1" s="1" t="s">
        <v>216</v>
      </c>
      <c r="J1" s="1"/>
      <c r="K1" t="s">
        <v>217</v>
      </c>
    </row>
    <row r="2" spans="1:13" x14ac:dyDescent="0.35">
      <c r="A2">
        <v>1</v>
      </c>
      <c r="B2" t="s">
        <v>4</v>
      </c>
      <c r="C2" s="1" t="s">
        <v>6</v>
      </c>
      <c r="D2">
        <v>5000</v>
      </c>
      <c r="E2" s="1" t="s">
        <v>43</v>
      </c>
      <c r="F2">
        <v>48500</v>
      </c>
      <c r="G2" s="3">
        <v>201</v>
      </c>
      <c r="H2">
        <v>519</v>
      </c>
      <c r="I2" t="str">
        <f>IF(D2&gt;6000,"eligible","not")</f>
        <v>not</v>
      </c>
      <c r="K2">
        <f>SUMIFS(F:F,G:G,G3)</f>
        <v>1708500</v>
      </c>
    </row>
    <row r="3" spans="1:13" x14ac:dyDescent="0.35">
      <c r="A3">
        <v>2</v>
      </c>
      <c r="B3" t="s">
        <v>7</v>
      </c>
      <c r="C3" s="1" t="s">
        <v>8</v>
      </c>
      <c r="D3">
        <v>7000</v>
      </c>
      <c r="E3" s="1" t="s">
        <v>44</v>
      </c>
      <c r="F3">
        <v>132000</v>
      </c>
      <c r="G3" s="3">
        <v>201</v>
      </c>
      <c r="H3">
        <v>501</v>
      </c>
      <c r="I3" t="str">
        <f t="shared" ref="I3:I21" si="0">IF(D3&gt;6000,"eligible","not")</f>
        <v>eligible</v>
      </c>
    </row>
    <row r="4" spans="1:13" x14ac:dyDescent="0.35">
      <c r="A4">
        <v>3</v>
      </c>
      <c r="B4" t="s">
        <v>9</v>
      </c>
      <c r="C4" s="1" t="s">
        <v>10</v>
      </c>
      <c r="D4">
        <v>14000</v>
      </c>
      <c r="E4" s="1" t="s">
        <v>45</v>
      </c>
      <c r="F4">
        <v>1250000</v>
      </c>
      <c r="G4" s="3">
        <v>201</v>
      </c>
      <c r="H4">
        <v>510</v>
      </c>
      <c r="I4" t="str">
        <f t="shared" si="0"/>
        <v>eligible</v>
      </c>
    </row>
    <row r="5" spans="1:13" x14ac:dyDescent="0.35">
      <c r="A5">
        <v>4</v>
      </c>
      <c r="B5" t="s">
        <v>11</v>
      </c>
      <c r="C5" s="1" t="s">
        <v>12</v>
      </c>
      <c r="D5">
        <v>35000</v>
      </c>
      <c r="E5" s="1" t="s">
        <v>46</v>
      </c>
      <c r="F5">
        <v>8700000</v>
      </c>
      <c r="G5" s="3">
        <v>210</v>
      </c>
      <c r="H5">
        <v>505</v>
      </c>
      <c r="I5" t="str">
        <f t="shared" si="0"/>
        <v>eligible</v>
      </c>
    </row>
    <row r="6" spans="1:13" x14ac:dyDescent="0.35">
      <c r="A6">
        <v>5</v>
      </c>
      <c r="B6" t="s">
        <v>13</v>
      </c>
      <c r="C6" s="1" t="s">
        <v>14</v>
      </c>
      <c r="D6">
        <v>201000</v>
      </c>
      <c r="E6" s="1" t="s">
        <v>47</v>
      </c>
      <c r="F6">
        <v>945000</v>
      </c>
      <c r="G6" s="3">
        <v>202</v>
      </c>
      <c r="H6">
        <v>511</v>
      </c>
      <c r="I6" t="str">
        <f t="shared" si="0"/>
        <v>eligible</v>
      </c>
      <c r="L6" s="7" t="s">
        <v>213</v>
      </c>
      <c r="M6" s="7"/>
    </row>
    <row r="7" spans="1:13" x14ac:dyDescent="0.35">
      <c r="A7">
        <v>6</v>
      </c>
      <c r="B7" t="s">
        <v>15</v>
      </c>
      <c r="C7" s="1" t="s">
        <v>16</v>
      </c>
      <c r="D7">
        <v>83000</v>
      </c>
      <c r="E7" s="1" t="s">
        <v>48</v>
      </c>
      <c r="F7">
        <v>278000</v>
      </c>
      <c r="G7" s="3">
        <v>201</v>
      </c>
      <c r="H7">
        <v>516</v>
      </c>
      <c r="I7" t="str">
        <f t="shared" si="0"/>
        <v>eligible</v>
      </c>
      <c r="L7" s="4" t="s">
        <v>211</v>
      </c>
      <c r="M7" s="4" t="s">
        <v>212</v>
      </c>
    </row>
    <row r="8" spans="1:13" x14ac:dyDescent="0.35">
      <c r="A8">
        <v>7</v>
      </c>
      <c r="B8" t="s">
        <v>17</v>
      </c>
      <c r="C8" s="1" t="s">
        <v>18</v>
      </c>
      <c r="D8">
        <v>123000</v>
      </c>
      <c r="E8" s="1" t="s">
        <v>49</v>
      </c>
      <c r="F8">
        <v>156000</v>
      </c>
      <c r="G8" s="3">
        <v>210</v>
      </c>
      <c r="H8">
        <v>503</v>
      </c>
      <c r="I8" t="str">
        <f t="shared" si="0"/>
        <v>eligible</v>
      </c>
      <c r="L8" s="4">
        <v>2</v>
      </c>
      <c r="M8" s="4" t="str">
        <f>VLOOKUP(L8,A1:H21,3,FALSE)</f>
        <v>@mannatwaslive</v>
      </c>
    </row>
    <row r="9" spans="1:13" x14ac:dyDescent="0.35">
      <c r="A9">
        <v>8</v>
      </c>
      <c r="B9" t="s">
        <v>19</v>
      </c>
      <c r="C9" s="1" t="s">
        <v>20</v>
      </c>
      <c r="D9">
        <v>5000</v>
      </c>
      <c r="E9" s="1" t="s">
        <v>62</v>
      </c>
      <c r="F9">
        <v>684000</v>
      </c>
      <c r="G9" s="3">
        <v>210</v>
      </c>
      <c r="H9">
        <v>501</v>
      </c>
      <c r="I9" t="str">
        <f t="shared" si="0"/>
        <v>not</v>
      </c>
      <c r="L9" s="4">
        <v>3</v>
      </c>
      <c r="M9" s="4" t="str">
        <f>VLOOKUP(L9,A1:H21,3,FALSE)</f>
        <v>@kavvaie</v>
      </c>
    </row>
    <row r="10" spans="1:13" x14ac:dyDescent="0.35">
      <c r="A10">
        <v>9</v>
      </c>
      <c r="B10" t="s">
        <v>21</v>
      </c>
      <c r="C10" s="1" t="s">
        <v>22</v>
      </c>
      <c r="D10">
        <v>7000</v>
      </c>
      <c r="E10" s="1" t="s">
        <v>61</v>
      </c>
      <c r="F10">
        <v>2340000</v>
      </c>
      <c r="G10" s="3">
        <v>209.857142857143</v>
      </c>
      <c r="H10">
        <v>509</v>
      </c>
      <c r="I10" t="str">
        <f t="shared" si="0"/>
        <v>eligible</v>
      </c>
    </row>
    <row r="11" spans="1:13" x14ac:dyDescent="0.35">
      <c r="A11">
        <v>10</v>
      </c>
      <c r="B11" t="s">
        <v>23</v>
      </c>
      <c r="C11" s="1" t="s">
        <v>24</v>
      </c>
      <c r="D11">
        <v>101000</v>
      </c>
      <c r="E11" s="1" t="s">
        <v>60</v>
      </c>
      <c r="F11">
        <v>1120000</v>
      </c>
      <c r="G11" s="3">
        <v>211.04761904761901</v>
      </c>
      <c r="H11">
        <v>514</v>
      </c>
      <c r="I11" t="str">
        <f t="shared" si="0"/>
        <v>eligible</v>
      </c>
      <c r="L11" s="8" t="s">
        <v>214</v>
      </c>
      <c r="M11" s="8"/>
    </row>
    <row r="12" spans="1:13" x14ac:dyDescent="0.35">
      <c r="A12">
        <v>11</v>
      </c>
      <c r="B12" t="s">
        <v>25</v>
      </c>
      <c r="C12" s="1" t="s">
        <v>26</v>
      </c>
      <c r="D12">
        <v>2460</v>
      </c>
      <c r="E12" s="1" t="s">
        <v>59</v>
      </c>
      <c r="F12">
        <v>5800000</v>
      </c>
      <c r="G12" s="3">
        <v>212.23809523809501</v>
      </c>
      <c r="H12">
        <v>505</v>
      </c>
      <c r="I12" t="str">
        <f t="shared" si="0"/>
        <v>not</v>
      </c>
      <c r="L12" s="4" t="s">
        <v>1</v>
      </c>
      <c r="M12" s="4" t="str">
        <f>HLOOKUP(L12,A1:H21,16,FALSE)</f>
        <v>pragya</v>
      </c>
    </row>
    <row r="13" spans="1:13" x14ac:dyDescent="0.35">
      <c r="A13">
        <v>12</v>
      </c>
      <c r="B13" t="s">
        <v>27</v>
      </c>
      <c r="C13" s="1" t="s">
        <v>28</v>
      </c>
      <c r="D13">
        <v>10000</v>
      </c>
      <c r="E13" s="1" t="s">
        <v>58</v>
      </c>
      <c r="F13">
        <v>792000</v>
      </c>
      <c r="G13" s="3">
        <v>213.42857142857099</v>
      </c>
      <c r="H13">
        <v>519</v>
      </c>
      <c r="I13" t="str">
        <f t="shared" si="0"/>
        <v>eligible</v>
      </c>
      <c r="L13" s="4" t="s">
        <v>63</v>
      </c>
      <c r="M13" s="4">
        <f>HLOOKUP(F1,A1:H21,16,FALSE)</f>
        <v>12400000</v>
      </c>
    </row>
    <row r="14" spans="1:13" x14ac:dyDescent="0.35">
      <c r="A14">
        <v>13</v>
      </c>
      <c r="B14" t="s">
        <v>29</v>
      </c>
      <c r="C14" s="1" t="s">
        <v>30</v>
      </c>
      <c r="D14">
        <v>32000</v>
      </c>
      <c r="E14" s="1" t="s">
        <v>57</v>
      </c>
      <c r="F14">
        <v>365000</v>
      </c>
      <c r="G14" s="3">
        <v>214.61904761904799</v>
      </c>
      <c r="H14">
        <v>507</v>
      </c>
      <c r="I14" t="str">
        <f t="shared" si="0"/>
        <v>eligible</v>
      </c>
      <c r="L14" s="4" t="s">
        <v>215</v>
      </c>
      <c r="M14" s="4" t="str">
        <f>HLOOKUP(E1,A1:H23,16,FALSE)</f>
        <v>@arshigamer</v>
      </c>
    </row>
    <row r="15" spans="1:13" x14ac:dyDescent="0.35">
      <c r="A15">
        <v>14</v>
      </c>
      <c r="B15" t="s">
        <v>31</v>
      </c>
      <c r="C15" s="1" t="s">
        <v>32</v>
      </c>
      <c r="D15">
        <v>5000</v>
      </c>
      <c r="E15" s="1" t="s">
        <v>56</v>
      </c>
      <c r="F15">
        <v>3150000</v>
      </c>
      <c r="G15" s="3">
        <v>215.80952380952399</v>
      </c>
      <c r="H15">
        <v>504</v>
      </c>
      <c r="I15" t="str">
        <f t="shared" si="0"/>
        <v>not</v>
      </c>
    </row>
    <row r="16" spans="1:13" x14ac:dyDescent="0.35">
      <c r="A16">
        <v>15</v>
      </c>
      <c r="B16" t="s">
        <v>21</v>
      </c>
      <c r="C16" s="1" t="s">
        <v>22</v>
      </c>
      <c r="D16">
        <v>6500</v>
      </c>
      <c r="E16" s="1" t="s">
        <v>55</v>
      </c>
      <c r="F16">
        <v>12400000</v>
      </c>
      <c r="G16" s="3">
        <v>217</v>
      </c>
      <c r="H16">
        <v>501</v>
      </c>
      <c r="I16" t="str">
        <f t="shared" si="0"/>
        <v>eligible</v>
      </c>
    </row>
    <row r="17" spans="1:9" x14ac:dyDescent="0.35">
      <c r="A17">
        <v>16</v>
      </c>
      <c r="B17" t="s">
        <v>33</v>
      </c>
      <c r="C17" s="1" t="s">
        <v>34</v>
      </c>
      <c r="D17">
        <v>605900</v>
      </c>
      <c r="E17" s="1" t="s">
        <v>54</v>
      </c>
      <c r="F17">
        <v>875000</v>
      </c>
      <c r="G17" s="3">
        <v>218.19047619047601</v>
      </c>
      <c r="H17">
        <v>504</v>
      </c>
      <c r="I17" t="str">
        <f t="shared" si="0"/>
        <v>eligible</v>
      </c>
    </row>
    <row r="18" spans="1:9" x14ac:dyDescent="0.35">
      <c r="A18">
        <v>17</v>
      </c>
      <c r="B18" t="s">
        <v>35</v>
      </c>
      <c r="C18" s="1" t="s">
        <v>36</v>
      </c>
      <c r="D18">
        <v>998000</v>
      </c>
      <c r="E18" s="1" t="s">
        <v>53</v>
      </c>
      <c r="F18">
        <v>1460000</v>
      </c>
      <c r="G18" s="3">
        <v>219.38095238095201</v>
      </c>
      <c r="H18">
        <v>517</v>
      </c>
      <c r="I18" t="str">
        <f t="shared" si="0"/>
        <v>eligible</v>
      </c>
    </row>
    <row r="19" spans="1:9" x14ac:dyDescent="0.35">
      <c r="A19">
        <v>18</v>
      </c>
      <c r="B19" t="s">
        <v>37</v>
      </c>
      <c r="C19" s="1" t="s">
        <v>38</v>
      </c>
      <c r="D19">
        <v>3000</v>
      </c>
      <c r="E19" s="1" t="s">
        <v>52</v>
      </c>
      <c r="F19">
        <v>4920000</v>
      </c>
      <c r="G19" s="3">
        <v>220.57142857142901</v>
      </c>
      <c r="H19">
        <v>512</v>
      </c>
      <c r="I19" t="str">
        <f t="shared" si="0"/>
        <v>not</v>
      </c>
    </row>
    <row r="20" spans="1:9" x14ac:dyDescent="0.35">
      <c r="A20">
        <v>19</v>
      </c>
      <c r="B20" t="s">
        <v>39</v>
      </c>
      <c r="C20" s="1" t="s">
        <v>40</v>
      </c>
      <c r="D20">
        <v>6000</v>
      </c>
      <c r="E20" s="1" t="s">
        <v>51</v>
      </c>
      <c r="F20">
        <v>610000</v>
      </c>
      <c r="G20" s="3">
        <v>221.76190476190499</v>
      </c>
      <c r="H20">
        <v>502</v>
      </c>
      <c r="I20" t="str">
        <f t="shared" si="0"/>
        <v>not</v>
      </c>
    </row>
    <row r="21" spans="1:9" x14ac:dyDescent="0.35">
      <c r="A21">
        <v>20</v>
      </c>
      <c r="B21" t="s">
        <v>41</v>
      </c>
      <c r="C21" s="1" t="s">
        <v>42</v>
      </c>
      <c r="D21">
        <v>100000</v>
      </c>
      <c r="E21" s="1" t="s">
        <v>50</v>
      </c>
      <c r="F21">
        <v>7300000</v>
      </c>
      <c r="G21" s="3">
        <v>222.95238095238099</v>
      </c>
      <c r="H21">
        <v>508</v>
      </c>
      <c r="I21" t="str">
        <f t="shared" si="0"/>
        <v>eligible</v>
      </c>
    </row>
  </sheetData>
  <mergeCells count="2">
    <mergeCell ref="L6:M6"/>
    <mergeCell ref="L11:M1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412D5-6521-44FA-B5D2-B45CEA21C1DF}">
  <dimension ref="A1:D21"/>
  <sheetViews>
    <sheetView zoomScale="94" zoomScaleNormal="94" workbookViewId="0"/>
  </sheetViews>
  <sheetFormatPr defaultRowHeight="14.5" x14ac:dyDescent="0.35"/>
  <cols>
    <col min="2" max="2" width="11" bestFit="1" customWidth="1"/>
    <col min="4" max="4" width="23.1796875" customWidth="1"/>
  </cols>
  <sheetData>
    <row r="1" spans="1:4" x14ac:dyDescent="0.35">
      <c r="A1" t="s">
        <v>64</v>
      </c>
      <c r="B1" t="s">
        <v>65</v>
      </c>
      <c r="C1" t="s">
        <v>86</v>
      </c>
      <c r="D1" t="s">
        <v>188</v>
      </c>
    </row>
    <row r="2" spans="1:4" x14ac:dyDescent="0.35">
      <c r="A2">
        <v>500</v>
      </c>
      <c r="B2" t="s">
        <v>66</v>
      </c>
      <c r="C2">
        <v>15000</v>
      </c>
      <c r="D2">
        <v>20</v>
      </c>
    </row>
    <row r="3" spans="1:4" x14ac:dyDescent="0.35">
      <c r="A3">
        <v>501</v>
      </c>
      <c r="B3" t="s">
        <v>67</v>
      </c>
      <c r="C3">
        <v>35000</v>
      </c>
      <c r="D3">
        <v>20</v>
      </c>
    </row>
    <row r="4" spans="1:4" x14ac:dyDescent="0.35">
      <c r="A4">
        <v>502</v>
      </c>
      <c r="B4" t="s">
        <v>68</v>
      </c>
      <c r="C4">
        <v>45000</v>
      </c>
      <c r="D4">
        <v>16</v>
      </c>
    </row>
    <row r="5" spans="1:4" x14ac:dyDescent="0.35">
      <c r="A5">
        <v>503</v>
      </c>
      <c r="B5" t="s">
        <v>69</v>
      </c>
      <c r="C5">
        <v>43000</v>
      </c>
      <c r="D5">
        <v>14</v>
      </c>
    </row>
    <row r="6" spans="1:4" x14ac:dyDescent="0.35">
      <c r="A6">
        <v>504</v>
      </c>
      <c r="B6" t="s">
        <v>70</v>
      </c>
      <c r="C6">
        <v>20000</v>
      </c>
      <c r="D6">
        <v>5</v>
      </c>
    </row>
    <row r="7" spans="1:4" x14ac:dyDescent="0.35">
      <c r="A7">
        <v>505</v>
      </c>
      <c r="B7" t="s">
        <v>71</v>
      </c>
      <c r="C7">
        <v>30000</v>
      </c>
      <c r="D7">
        <v>10</v>
      </c>
    </row>
    <row r="8" spans="1:4" x14ac:dyDescent="0.35">
      <c r="A8">
        <v>506</v>
      </c>
      <c r="B8" t="s">
        <v>72</v>
      </c>
      <c r="C8">
        <v>60000</v>
      </c>
      <c r="D8">
        <v>3</v>
      </c>
    </row>
    <row r="9" spans="1:4" x14ac:dyDescent="0.35">
      <c r="A9">
        <v>507</v>
      </c>
      <c r="B9" t="s">
        <v>73</v>
      </c>
      <c r="C9">
        <v>40000</v>
      </c>
      <c r="D9">
        <v>6</v>
      </c>
    </row>
    <row r="10" spans="1:4" x14ac:dyDescent="0.35">
      <c r="A10">
        <v>508</v>
      </c>
      <c r="B10" t="s">
        <v>74</v>
      </c>
      <c r="C10">
        <v>350000</v>
      </c>
      <c r="D10">
        <v>8</v>
      </c>
    </row>
    <row r="11" spans="1:4" x14ac:dyDescent="0.35">
      <c r="A11">
        <v>509</v>
      </c>
      <c r="B11" t="s">
        <v>75</v>
      </c>
      <c r="C11">
        <v>30000</v>
      </c>
      <c r="D11">
        <v>11</v>
      </c>
    </row>
    <row r="12" spans="1:4" x14ac:dyDescent="0.35">
      <c r="A12">
        <v>510</v>
      </c>
      <c r="B12" t="s">
        <v>76</v>
      </c>
      <c r="C12">
        <v>15000</v>
      </c>
      <c r="D12">
        <v>14</v>
      </c>
    </row>
    <row r="13" spans="1:4" x14ac:dyDescent="0.35">
      <c r="A13">
        <v>511</v>
      </c>
      <c r="B13" t="s">
        <v>77</v>
      </c>
      <c r="C13">
        <v>20000</v>
      </c>
      <c r="D13">
        <v>16</v>
      </c>
    </row>
    <row r="14" spans="1:4" x14ac:dyDescent="0.35">
      <c r="A14">
        <v>512</v>
      </c>
      <c r="B14" t="s">
        <v>78</v>
      </c>
      <c r="C14">
        <v>30000</v>
      </c>
      <c r="D14">
        <v>15</v>
      </c>
    </row>
    <row r="15" spans="1:4" x14ac:dyDescent="0.35">
      <c r="A15">
        <v>513</v>
      </c>
      <c r="B15" t="s">
        <v>79</v>
      </c>
      <c r="C15">
        <v>60000</v>
      </c>
      <c r="D15">
        <v>8</v>
      </c>
    </row>
    <row r="16" spans="1:4" x14ac:dyDescent="0.35">
      <c r="A16">
        <v>514</v>
      </c>
      <c r="B16" t="s">
        <v>80</v>
      </c>
      <c r="C16">
        <v>950000</v>
      </c>
      <c r="D16">
        <v>2</v>
      </c>
    </row>
    <row r="17" spans="1:4" x14ac:dyDescent="0.35">
      <c r="A17">
        <v>515</v>
      </c>
      <c r="B17" t="s">
        <v>81</v>
      </c>
      <c r="C17">
        <v>90000</v>
      </c>
      <c r="D17">
        <v>17</v>
      </c>
    </row>
    <row r="18" spans="1:4" x14ac:dyDescent="0.35">
      <c r="A18">
        <v>516</v>
      </c>
      <c r="B18" t="s">
        <v>82</v>
      </c>
      <c r="C18">
        <v>200000</v>
      </c>
      <c r="D18">
        <v>4</v>
      </c>
    </row>
    <row r="19" spans="1:4" x14ac:dyDescent="0.35">
      <c r="A19">
        <v>517</v>
      </c>
      <c r="B19" t="s">
        <v>83</v>
      </c>
      <c r="C19">
        <v>60000</v>
      </c>
      <c r="D19">
        <v>6</v>
      </c>
    </row>
    <row r="20" spans="1:4" x14ac:dyDescent="0.35">
      <c r="A20">
        <v>518</v>
      </c>
      <c r="B20" t="s">
        <v>84</v>
      </c>
      <c r="C20">
        <v>70000</v>
      </c>
      <c r="D20">
        <v>12</v>
      </c>
    </row>
    <row r="21" spans="1:4" x14ac:dyDescent="0.35">
      <c r="A21">
        <v>519</v>
      </c>
      <c r="B21" t="s">
        <v>85</v>
      </c>
      <c r="C21">
        <v>90000</v>
      </c>
      <c r="D21">
        <v>15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94C59-FE19-4E09-B905-2870EC00C62B}">
  <dimension ref="A1:D12"/>
  <sheetViews>
    <sheetView workbookViewId="0">
      <selection activeCell="G7" sqref="G7"/>
    </sheetView>
  </sheetViews>
  <sheetFormatPr defaultRowHeight="14.5" x14ac:dyDescent="0.35"/>
  <cols>
    <col min="3" max="3" width="18.1796875" bestFit="1" customWidth="1"/>
  </cols>
  <sheetData>
    <row r="1" spans="1:4" x14ac:dyDescent="0.35">
      <c r="A1" t="s">
        <v>222</v>
      </c>
      <c r="B1" t="s">
        <v>189</v>
      </c>
      <c r="C1" t="s">
        <v>190</v>
      </c>
      <c r="D1" t="s">
        <v>191</v>
      </c>
    </row>
    <row r="2" spans="1:4" x14ac:dyDescent="0.35">
      <c r="A2">
        <v>200</v>
      </c>
      <c r="B2" t="s">
        <v>192</v>
      </c>
      <c r="C2" t="s">
        <v>203</v>
      </c>
      <c r="D2">
        <v>12000</v>
      </c>
    </row>
    <row r="3" spans="1:4" x14ac:dyDescent="0.35">
      <c r="A3">
        <v>201</v>
      </c>
      <c r="B3" t="s">
        <v>193</v>
      </c>
      <c r="C3" t="s">
        <v>204</v>
      </c>
      <c r="D3">
        <v>20000</v>
      </c>
    </row>
    <row r="4" spans="1:4" x14ac:dyDescent="0.35">
      <c r="A4">
        <v>202</v>
      </c>
      <c r="B4" t="s">
        <v>194</v>
      </c>
      <c r="C4" t="s">
        <v>204</v>
      </c>
      <c r="D4">
        <v>20000</v>
      </c>
    </row>
    <row r="5" spans="1:4" x14ac:dyDescent="0.35">
      <c r="A5">
        <v>203</v>
      </c>
      <c r="B5" t="s">
        <v>195</v>
      </c>
      <c r="C5" t="s">
        <v>204</v>
      </c>
      <c r="D5">
        <v>35000</v>
      </c>
    </row>
    <row r="6" spans="1:4" x14ac:dyDescent="0.35">
      <c r="A6">
        <v>204</v>
      </c>
      <c r="B6" t="s">
        <v>196</v>
      </c>
      <c r="C6" t="s">
        <v>203</v>
      </c>
      <c r="D6">
        <v>12000</v>
      </c>
    </row>
    <row r="7" spans="1:4" x14ac:dyDescent="0.35">
      <c r="A7">
        <v>205</v>
      </c>
      <c r="B7" t="s">
        <v>197</v>
      </c>
      <c r="C7" t="s">
        <v>205</v>
      </c>
      <c r="D7">
        <v>18000</v>
      </c>
    </row>
    <row r="8" spans="1:4" x14ac:dyDescent="0.35">
      <c r="A8">
        <v>206</v>
      </c>
      <c r="B8" t="s">
        <v>198</v>
      </c>
      <c r="C8" t="s">
        <v>206</v>
      </c>
      <c r="D8">
        <v>10000</v>
      </c>
    </row>
    <row r="9" spans="1:4" x14ac:dyDescent="0.35">
      <c r="A9">
        <v>207</v>
      </c>
      <c r="B9" t="s">
        <v>199</v>
      </c>
      <c r="C9" t="s">
        <v>206</v>
      </c>
      <c r="D9">
        <v>10000</v>
      </c>
    </row>
    <row r="10" spans="1:4" x14ac:dyDescent="0.35">
      <c r="A10">
        <v>208</v>
      </c>
      <c r="B10" t="s">
        <v>200</v>
      </c>
      <c r="C10" t="s">
        <v>207</v>
      </c>
      <c r="D10">
        <v>15000</v>
      </c>
    </row>
    <row r="11" spans="1:4" x14ac:dyDescent="0.35">
      <c r="A11">
        <v>209</v>
      </c>
      <c r="B11" t="s">
        <v>201</v>
      </c>
      <c r="C11" t="s">
        <v>208</v>
      </c>
      <c r="D11">
        <v>18000</v>
      </c>
    </row>
    <row r="12" spans="1:4" x14ac:dyDescent="0.35">
      <c r="A12">
        <v>210</v>
      </c>
      <c r="B12" t="s">
        <v>202</v>
      </c>
      <c r="C12" t="s">
        <v>209</v>
      </c>
      <c r="D12">
        <v>10000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3B3FF-91BD-41B3-B200-40C7ACC080B9}">
  <dimension ref="A1:F13"/>
  <sheetViews>
    <sheetView workbookViewId="0">
      <selection activeCell="F4" sqref="F4"/>
    </sheetView>
  </sheetViews>
  <sheetFormatPr defaultRowHeight="14.5" x14ac:dyDescent="0.35"/>
  <cols>
    <col min="2" max="2" width="19.1796875" bestFit="1" customWidth="1"/>
    <col min="3" max="3" width="7.7265625" bestFit="1" customWidth="1"/>
    <col min="5" max="5" width="12.08984375" bestFit="1" customWidth="1"/>
    <col min="6" max="6" width="13" bestFit="1" customWidth="1"/>
  </cols>
  <sheetData>
    <row r="1" spans="1:6" x14ac:dyDescent="0.35">
      <c r="A1" t="s">
        <v>223</v>
      </c>
      <c r="B1" t="s">
        <v>87</v>
      </c>
      <c r="C1" t="s">
        <v>224</v>
      </c>
      <c r="D1" t="s">
        <v>100</v>
      </c>
      <c r="E1" t="s">
        <v>101</v>
      </c>
      <c r="F1" t="s">
        <v>102</v>
      </c>
    </row>
    <row r="2" spans="1:6" x14ac:dyDescent="0.35">
      <c r="A2">
        <v>50</v>
      </c>
      <c r="B2" t="s">
        <v>88</v>
      </c>
      <c r="C2">
        <v>4</v>
      </c>
      <c r="D2" t="s">
        <v>104</v>
      </c>
      <c r="E2" t="s">
        <v>116</v>
      </c>
      <c r="F2" t="s">
        <v>127</v>
      </c>
    </row>
    <row r="3" spans="1:6" x14ac:dyDescent="0.35">
      <c r="A3">
        <v>51</v>
      </c>
      <c r="B3" t="s">
        <v>89</v>
      </c>
      <c r="C3">
        <v>2</v>
      </c>
      <c r="D3" t="s">
        <v>105</v>
      </c>
      <c r="E3" t="s">
        <v>115</v>
      </c>
      <c r="F3" t="s">
        <v>126</v>
      </c>
    </row>
    <row r="4" spans="1:6" x14ac:dyDescent="0.35">
      <c r="A4">
        <v>52</v>
      </c>
      <c r="B4" t="s">
        <v>90</v>
      </c>
      <c r="C4">
        <v>5</v>
      </c>
      <c r="D4" t="s">
        <v>106</v>
      </c>
      <c r="E4" t="s">
        <v>119</v>
      </c>
      <c r="F4" t="s">
        <v>128</v>
      </c>
    </row>
    <row r="5" spans="1:6" x14ac:dyDescent="0.35">
      <c r="A5">
        <v>53</v>
      </c>
      <c r="B5" t="s">
        <v>91</v>
      </c>
      <c r="C5">
        <v>0</v>
      </c>
      <c r="D5" t="s">
        <v>107</v>
      </c>
      <c r="E5" t="s">
        <v>120</v>
      </c>
      <c r="F5" t="s">
        <v>129</v>
      </c>
    </row>
    <row r="6" spans="1:6" x14ac:dyDescent="0.35">
      <c r="A6">
        <v>54</v>
      </c>
      <c r="B6" t="s">
        <v>92</v>
      </c>
      <c r="C6">
        <v>2</v>
      </c>
      <c r="D6" t="s">
        <v>103</v>
      </c>
      <c r="E6" t="s">
        <v>121</v>
      </c>
      <c r="F6" t="s">
        <v>130</v>
      </c>
    </row>
    <row r="7" spans="1:6" x14ac:dyDescent="0.35">
      <c r="A7">
        <v>55</v>
      </c>
      <c r="B7" t="s">
        <v>93</v>
      </c>
      <c r="C7">
        <v>3</v>
      </c>
      <c r="D7" t="s">
        <v>108</v>
      </c>
      <c r="E7" t="s">
        <v>122</v>
      </c>
      <c r="F7" t="s">
        <v>131</v>
      </c>
    </row>
    <row r="8" spans="1:6" x14ac:dyDescent="0.35">
      <c r="A8">
        <v>56</v>
      </c>
      <c r="B8" t="s">
        <v>94</v>
      </c>
      <c r="C8">
        <v>6</v>
      </c>
      <c r="D8" t="s">
        <v>109</v>
      </c>
      <c r="E8" t="s">
        <v>123</v>
      </c>
      <c r="F8" t="s">
        <v>132</v>
      </c>
    </row>
    <row r="9" spans="1:6" x14ac:dyDescent="0.35">
      <c r="A9">
        <v>57</v>
      </c>
      <c r="B9" t="s">
        <v>95</v>
      </c>
      <c r="C9">
        <v>1</v>
      </c>
      <c r="D9" t="s">
        <v>110</v>
      </c>
      <c r="E9" t="s">
        <v>124</v>
      </c>
      <c r="F9" t="s">
        <v>133</v>
      </c>
    </row>
    <row r="10" spans="1:6" x14ac:dyDescent="0.35">
      <c r="A10">
        <v>58</v>
      </c>
      <c r="B10" t="s">
        <v>96</v>
      </c>
      <c r="C10">
        <v>5</v>
      </c>
      <c r="D10" t="s">
        <v>111</v>
      </c>
      <c r="E10" t="s">
        <v>125</v>
      </c>
      <c r="F10" t="s">
        <v>134</v>
      </c>
    </row>
    <row r="11" spans="1:6" x14ac:dyDescent="0.35">
      <c r="A11">
        <v>59</v>
      </c>
      <c r="B11" t="s">
        <v>97</v>
      </c>
      <c r="C11">
        <v>9</v>
      </c>
      <c r="D11" t="s">
        <v>112</v>
      </c>
      <c r="E11" t="s">
        <v>118</v>
      </c>
      <c r="F11" t="s">
        <v>135</v>
      </c>
    </row>
    <row r="12" spans="1:6" x14ac:dyDescent="0.35">
      <c r="A12">
        <v>60</v>
      </c>
      <c r="B12" t="s">
        <v>98</v>
      </c>
      <c r="C12">
        <v>12</v>
      </c>
      <c r="D12" t="s">
        <v>113</v>
      </c>
      <c r="E12" t="s">
        <v>117</v>
      </c>
      <c r="F12" t="s">
        <v>136</v>
      </c>
    </row>
    <row r="13" spans="1:6" x14ac:dyDescent="0.35">
      <c r="A13">
        <v>61</v>
      </c>
      <c r="B13" t="s">
        <v>99</v>
      </c>
      <c r="C13">
        <v>3</v>
      </c>
      <c r="D13" t="s">
        <v>114</v>
      </c>
      <c r="E13" t="s">
        <v>116</v>
      </c>
      <c r="F13" t="s">
        <v>137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598AD-F29D-491B-AB28-B69E832CB539}">
  <dimension ref="A1:D48"/>
  <sheetViews>
    <sheetView workbookViewId="0">
      <selection activeCell="D1" sqref="D1"/>
    </sheetView>
  </sheetViews>
  <sheetFormatPr defaultRowHeight="14.5" x14ac:dyDescent="0.35"/>
  <cols>
    <col min="2" max="2" width="17" customWidth="1"/>
    <col min="4" max="4" width="11.81640625" bestFit="1" customWidth="1"/>
  </cols>
  <sheetData>
    <row r="1" spans="1:4" x14ac:dyDescent="0.35">
      <c r="A1" t="s">
        <v>138</v>
      </c>
      <c r="B1" t="s">
        <v>139</v>
      </c>
      <c r="C1" t="s">
        <v>140</v>
      </c>
      <c r="D1" t="s">
        <v>141</v>
      </c>
    </row>
    <row r="2" spans="1:4" x14ac:dyDescent="0.35">
      <c r="A2">
        <v>100</v>
      </c>
      <c r="B2" t="s">
        <v>142</v>
      </c>
      <c r="C2">
        <v>50</v>
      </c>
      <c r="D2" s="2">
        <v>45309</v>
      </c>
    </row>
    <row r="3" spans="1:4" x14ac:dyDescent="0.35">
      <c r="A3">
        <v>101</v>
      </c>
      <c r="B3" t="s">
        <v>143</v>
      </c>
      <c r="C3">
        <v>50</v>
      </c>
      <c r="D3" s="2">
        <v>45329</v>
      </c>
    </row>
    <row r="4" spans="1:4" x14ac:dyDescent="0.35">
      <c r="A4">
        <v>102</v>
      </c>
      <c r="B4" t="s">
        <v>144</v>
      </c>
      <c r="C4">
        <v>50</v>
      </c>
      <c r="D4" s="2">
        <v>45347</v>
      </c>
    </row>
    <row r="5" spans="1:4" x14ac:dyDescent="0.35">
      <c r="A5">
        <v>103</v>
      </c>
      <c r="B5" t="s">
        <v>145</v>
      </c>
      <c r="C5">
        <v>50</v>
      </c>
      <c r="D5" s="2">
        <v>45365</v>
      </c>
    </row>
    <row r="6" spans="1:4" x14ac:dyDescent="0.35">
      <c r="A6">
        <v>104</v>
      </c>
      <c r="B6" t="s">
        <v>146</v>
      </c>
      <c r="C6">
        <v>51</v>
      </c>
      <c r="D6" s="2">
        <v>45380</v>
      </c>
    </row>
    <row r="7" spans="1:4" x14ac:dyDescent="0.35">
      <c r="A7">
        <v>105</v>
      </c>
      <c r="B7" t="s">
        <v>147</v>
      </c>
      <c r="C7">
        <v>51</v>
      </c>
      <c r="D7" s="2">
        <v>45393</v>
      </c>
    </row>
    <row r="8" spans="1:4" x14ac:dyDescent="0.35">
      <c r="A8">
        <v>106</v>
      </c>
      <c r="B8" t="s">
        <v>148</v>
      </c>
      <c r="C8">
        <v>51</v>
      </c>
      <c r="D8" s="2">
        <v>45409</v>
      </c>
    </row>
    <row r="9" spans="1:4" x14ac:dyDescent="0.35">
      <c r="A9">
        <v>107</v>
      </c>
      <c r="B9" t="s">
        <v>149</v>
      </c>
      <c r="C9">
        <v>51</v>
      </c>
      <c r="D9" s="2">
        <v>45421</v>
      </c>
    </row>
    <row r="10" spans="1:4" x14ac:dyDescent="0.35">
      <c r="A10">
        <v>108</v>
      </c>
      <c r="B10" t="s">
        <v>150</v>
      </c>
      <c r="C10">
        <v>52</v>
      </c>
      <c r="D10" s="2">
        <v>45436</v>
      </c>
    </row>
    <row r="11" spans="1:4" x14ac:dyDescent="0.35">
      <c r="A11">
        <v>109</v>
      </c>
      <c r="B11" t="s">
        <v>151</v>
      </c>
      <c r="C11">
        <v>52</v>
      </c>
      <c r="D11" s="2">
        <v>45456</v>
      </c>
    </row>
    <row r="12" spans="1:4" x14ac:dyDescent="0.35">
      <c r="A12">
        <v>110</v>
      </c>
      <c r="B12" t="s">
        <v>152</v>
      </c>
      <c r="C12">
        <v>52</v>
      </c>
      <c r="D12" s="2">
        <v>45474</v>
      </c>
    </row>
    <row r="13" spans="1:4" x14ac:dyDescent="0.35">
      <c r="A13">
        <v>111</v>
      </c>
      <c r="B13" t="s">
        <v>153</v>
      </c>
      <c r="C13">
        <v>52</v>
      </c>
      <c r="D13" s="2">
        <v>45495</v>
      </c>
    </row>
    <row r="14" spans="1:4" x14ac:dyDescent="0.35">
      <c r="A14">
        <v>112</v>
      </c>
      <c r="B14" t="s">
        <v>154</v>
      </c>
      <c r="C14">
        <v>52</v>
      </c>
      <c r="D14" s="2">
        <v>45514</v>
      </c>
    </row>
    <row r="15" spans="1:4" x14ac:dyDescent="0.35">
      <c r="A15">
        <v>113</v>
      </c>
      <c r="B15" t="s">
        <v>155</v>
      </c>
      <c r="C15">
        <v>53</v>
      </c>
      <c r="D15" s="2">
        <v>45533</v>
      </c>
    </row>
    <row r="16" spans="1:4" x14ac:dyDescent="0.35">
      <c r="A16">
        <v>114</v>
      </c>
      <c r="B16" t="s">
        <v>156</v>
      </c>
      <c r="C16">
        <v>53</v>
      </c>
      <c r="D16" s="2">
        <v>45551</v>
      </c>
    </row>
    <row r="17" spans="1:4" x14ac:dyDescent="0.35">
      <c r="A17">
        <v>115</v>
      </c>
      <c r="B17" t="s">
        <v>157</v>
      </c>
      <c r="C17">
        <v>53</v>
      </c>
      <c r="D17" s="2">
        <v>45569</v>
      </c>
    </row>
    <row r="18" spans="1:4" x14ac:dyDescent="0.35">
      <c r="A18">
        <v>116</v>
      </c>
      <c r="B18" t="s">
        <v>158</v>
      </c>
      <c r="C18">
        <v>53</v>
      </c>
      <c r="D18" s="2">
        <v>45593</v>
      </c>
    </row>
    <row r="19" spans="1:4" x14ac:dyDescent="0.35">
      <c r="A19">
        <v>117</v>
      </c>
      <c r="B19" t="s">
        <v>159</v>
      </c>
      <c r="C19">
        <v>53</v>
      </c>
      <c r="D19" s="2">
        <v>45611</v>
      </c>
    </row>
    <row r="20" spans="1:4" x14ac:dyDescent="0.35">
      <c r="A20">
        <v>118</v>
      </c>
      <c r="B20" t="s">
        <v>160</v>
      </c>
      <c r="C20">
        <v>54</v>
      </c>
      <c r="D20" s="2">
        <v>45629</v>
      </c>
    </row>
    <row r="21" spans="1:4" x14ac:dyDescent="0.35">
      <c r="A21">
        <v>119</v>
      </c>
      <c r="B21" t="s">
        <v>113</v>
      </c>
      <c r="C21">
        <v>54</v>
      </c>
      <c r="D21" s="2">
        <v>45647</v>
      </c>
    </row>
    <row r="22" spans="1:4" x14ac:dyDescent="0.35">
      <c r="A22">
        <v>120</v>
      </c>
      <c r="B22" t="s">
        <v>161</v>
      </c>
      <c r="C22">
        <v>54</v>
      </c>
      <c r="D22" s="2">
        <v>45666</v>
      </c>
    </row>
    <row r="23" spans="1:4" x14ac:dyDescent="0.35">
      <c r="A23">
        <v>121</v>
      </c>
      <c r="B23" t="s">
        <v>162</v>
      </c>
      <c r="C23">
        <v>54</v>
      </c>
      <c r="D23" s="2">
        <v>45687</v>
      </c>
    </row>
    <row r="24" spans="1:4" x14ac:dyDescent="0.35">
      <c r="A24">
        <v>122</v>
      </c>
      <c r="B24" t="s">
        <v>163</v>
      </c>
      <c r="C24">
        <v>54</v>
      </c>
      <c r="D24" s="2">
        <v>45706</v>
      </c>
    </row>
    <row r="25" spans="1:4" x14ac:dyDescent="0.35">
      <c r="A25">
        <v>123</v>
      </c>
      <c r="B25" t="s">
        <v>164</v>
      </c>
      <c r="C25">
        <v>55</v>
      </c>
      <c r="D25" s="2">
        <v>45723</v>
      </c>
    </row>
    <row r="26" spans="1:4" x14ac:dyDescent="0.35">
      <c r="A26">
        <v>124</v>
      </c>
      <c r="B26" t="s">
        <v>165</v>
      </c>
      <c r="C26">
        <v>55</v>
      </c>
      <c r="D26" s="2">
        <v>45742</v>
      </c>
    </row>
    <row r="27" spans="1:4" x14ac:dyDescent="0.35">
      <c r="A27">
        <v>125</v>
      </c>
      <c r="B27" t="s">
        <v>166</v>
      </c>
      <c r="C27">
        <v>55</v>
      </c>
      <c r="D27" s="2">
        <v>45759</v>
      </c>
    </row>
    <row r="28" spans="1:4" x14ac:dyDescent="0.35">
      <c r="A28">
        <v>126</v>
      </c>
      <c r="B28" t="s">
        <v>167</v>
      </c>
      <c r="C28">
        <v>56</v>
      </c>
      <c r="D28" s="2">
        <v>45778</v>
      </c>
    </row>
    <row r="29" spans="1:4" x14ac:dyDescent="0.35">
      <c r="A29">
        <v>127</v>
      </c>
      <c r="B29" t="s">
        <v>168</v>
      </c>
      <c r="C29">
        <v>57</v>
      </c>
      <c r="D29" s="2">
        <v>45796</v>
      </c>
    </row>
    <row r="30" spans="1:4" x14ac:dyDescent="0.35">
      <c r="A30">
        <v>128</v>
      </c>
      <c r="B30" t="s">
        <v>169</v>
      </c>
      <c r="C30">
        <v>57</v>
      </c>
      <c r="D30" s="2">
        <v>45816</v>
      </c>
    </row>
    <row r="31" spans="1:4" x14ac:dyDescent="0.35">
      <c r="A31">
        <v>129</v>
      </c>
      <c r="B31" t="s">
        <v>170</v>
      </c>
      <c r="C31">
        <v>57</v>
      </c>
      <c r="D31" s="2">
        <v>45835</v>
      </c>
    </row>
    <row r="32" spans="1:4" x14ac:dyDescent="0.35">
      <c r="A32">
        <v>130</v>
      </c>
      <c r="B32" t="s">
        <v>171</v>
      </c>
      <c r="C32">
        <v>57</v>
      </c>
      <c r="D32" s="2">
        <v>45852</v>
      </c>
    </row>
    <row r="33" spans="1:4" x14ac:dyDescent="0.35">
      <c r="A33">
        <v>131</v>
      </c>
      <c r="B33" t="s">
        <v>172</v>
      </c>
      <c r="C33">
        <v>57</v>
      </c>
      <c r="D33" s="2">
        <v>45871</v>
      </c>
    </row>
    <row r="34" spans="1:4" x14ac:dyDescent="0.35">
      <c r="A34">
        <v>132</v>
      </c>
      <c r="B34" t="s">
        <v>173</v>
      </c>
      <c r="C34">
        <v>58</v>
      </c>
      <c r="D34" s="2">
        <v>45890</v>
      </c>
    </row>
    <row r="35" spans="1:4" x14ac:dyDescent="0.35">
      <c r="A35">
        <v>133</v>
      </c>
      <c r="B35" t="s">
        <v>174</v>
      </c>
      <c r="C35">
        <v>58</v>
      </c>
      <c r="D35" s="2">
        <v>45909</v>
      </c>
    </row>
    <row r="36" spans="1:4" x14ac:dyDescent="0.35">
      <c r="A36">
        <v>134</v>
      </c>
      <c r="B36" t="s">
        <v>175</v>
      </c>
      <c r="C36">
        <v>58</v>
      </c>
      <c r="D36" s="2">
        <v>45930</v>
      </c>
    </row>
    <row r="37" spans="1:4" x14ac:dyDescent="0.35">
      <c r="A37">
        <v>135</v>
      </c>
      <c r="B37" t="s">
        <v>176</v>
      </c>
      <c r="C37">
        <v>58</v>
      </c>
      <c r="D37" s="2">
        <v>45947</v>
      </c>
    </row>
    <row r="38" spans="1:4" x14ac:dyDescent="0.35">
      <c r="A38">
        <v>136</v>
      </c>
      <c r="B38" t="s">
        <v>177</v>
      </c>
      <c r="C38">
        <v>58</v>
      </c>
      <c r="D38" s="2">
        <v>45966</v>
      </c>
    </row>
    <row r="39" spans="1:4" x14ac:dyDescent="0.35">
      <c r="A39">
        <v>137</v>
      </c>
      <c r="B39" t="s">
        <v>178</v>
      </c>
      <c r="C39">
        <v>59</v>
      </c>
      <c r="D39" s="2">
        <v>45985</v>
      </c>
    </row>
    <row r="40" spans="1:4" x14ac:dyDescent="0.35">
      <c r="A40">
        <v>138</v>
      </c>
      <c r="B40" t="s">
        <v>179</v>
      </c>
      <c r="C40">
        <v>59</v>
      </c>
      <c r="D40" s="2">
        <v>46003</v>
      </c>
    </row>
    <row r="41" spans="1:4" x14ac:dyDescent="0.35">
      <c r="A41">
        <v>139</v>
      </c>
      <c r="B41" t="s">
        <v>180</v>
      </c>
      <c r="C41">
        <v>59</v>
      </c>
      <c r="D41" s="2">
        <v>46026</v>
      </c>
    </row>
    <row r="42" spans="1:4" x14ac:dyDescent="0.35">
      <c r="A42">
        <v>140</v>
      </c>
      <c r="B42" t="s">
        <v>181</v>
      </c>
      <c r="C42">
        <v>60</v>
      </c>
      <c r="D42" s="2">
        <v>46037</v>
      </c>
    </row>
    <row r="43" spans="1:4" x14ac:dyDescent="0.35">
      <c r="A43">
        <v>141</v>
      </c>
      <c r="B43" t="s">
        <v>182</v>
      </c>
      <c r="C43">
        <v>60</v>
      </c>
      <c r="D43" s="2">
        <v>46049</v>
      </c>
    </row>
    <row r="44" spans="1:4" x14ac:dyDescent="0.35">
      <c r="A44">
        <v>142</v>
      </c>
      <c r="B44" t="s">
        <v>183</v>
      </c>
      <c r="C44">
        <v>60</v>
      </c>
      <c r="D44" s="2">
        <v>46056</v>
      </c>
    </row>
    <row r="45" spans="1:4" x14ac:dyDescent="0.35">
      <c r="A45">
        <v>143</v>
      </c>
      <c r="B45" t="s">
        <v>184</v>
      </c>
      <c r="C45">
        <v>60</v>
      </c>
      <c r="D45" s="2">
        <v>46064</v>
      </c>
    </row>
    <row r="46" spans="1:4" x14ac:dyDescent="0.35">
      <c r="A46">
        <v>144</v>
      </c>
      <c r="B46" t="s">
        <v>185</v>
      </c>
      <c r="C46">
        <v>61</v>
      </c>
      <c r="D46" s="2">
        <v>46072</v>
      </c>
    </row>
    <row r="47" spans="1:4" x14ac:dyDescent="0.35">
      <c r="A47">
        <v>145</v>
      </c>
      <c r="B47" t="s">
        <v>186</v>
      </c>
      <c r="C47">
        <v>61</v>
      </c>
      <c r="D47" s="2">
        <v>46077</v>
      </c>
    </row>
    <row r="48" spans="1:4" x14ac:dyDescent="0.35">
      <c r="A48">
        <v>146</v>
      </c>
      <c r="B48" t="s">
        <v>187</v>
      </c>
      <c r="C48">
        <v>61</v>
      </c>
      <c r="D48" s="2">
        <v>46081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Pivot table</vt:lpstr>
      <vt:lpstr>Creators</vt:lpstr>
      <vt:lpstr>brand</vt:lpstr>
      <vt:lpstr>backend</vt:lpstr>
      <vt:lpstr>ESPORTSS</vt:lpstr>
      <vt:lpstr>lineup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tejas rajput</dc:creator>
  <cp:lastModifiedBy>tejas rajput</cp:lastModifiedBy>
  <dcterms:created xsi:type="dcterms:W3CDTF">2026-06-25T13:38:11Z</dcterms:created>
  <dcterms:modified xsi:type="dcterms:W3CDTF">2026-07-01T15:08:48Z</dcterms:modified>
</cp:coreProperties>
</file>